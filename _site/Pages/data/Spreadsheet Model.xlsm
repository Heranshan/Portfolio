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ctrlProps/ctrlProp1.xml" ContentType="application/vnd.ms-excel.controlproperties+xml"/>
  <Override PartName="/xl/charts/chart14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6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mu.sharepoint.com/teams/SpreadsheetGroup3/Shared Documents/General/"/>
    </mc:Choice>
  </mc:AlternateContent>
  <xr:revisionPtr revIDLastSave="1266" documentId="8_{9B8A7656-32B8-4BCA-848C-97398319FAE7}" xr6:coauthVersionLast="47" xr6:coauthVersionMax="47" xr10:uidLastSave="{1371F8C0-E4F8-44B9-8122-95D700693620}"/>
  <bookViews>
    <workbookView xWindow="-108" yWindow="-108" windowWidth="23256" windowHeight="12576" activeTab="8" xr2:uid="{1C5E72A0-2558-4149-A5D8-604BAD9733E6}"/>
  </bookViews>
  <sheets>
    <sheet name="Cover" sheetId="31" r:id="rId1"/>
    <sheet name="Schematic" sheetId="32" r:id="rId2"/>
    <sheet name="Main" sheetId="14" r:id="rId3"/>
    <sheet name="0. Electricity" sheetId="16" r:id="rId4"/>
    <sheet name="1. Power" sheetId="25" r:id="rId5"/>
    <sheet name="2. Industry" sheetId="23" r:id="rId6"/>
    <sheet name="3. Transport" sheetId="20" r:id="rId7"/>
    <sheet name="Sensitivity" sheetId="29" r:id="rId8"/>
    <sheet name="Trade-off" sheetId="30" r:id="rId9"/>
  </sheets>
  <definedNames>
    <definedName name="s_count">Sensitivity!$C$3</definedName>
    <definedName name="solver_eng" localSheetId="3" hidden="1">1</definedName>
    <definedName name="solver_eng" localSheetId="4" hidden="1">1</definedName>
    <definedName name="solver_eng" localSheetId="5" hidden="1">1</definedName>
    <definedName name="solver_eng" localSheetId="8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8" hidden="1">1</definedName>
    <definedName name="solver_num" localSheetId="3" hidden="1">0</definedName>
    <definedName name="solver_num" localSheetId="4" hidden="1">0</definedName>
    <definedName name="solver_num" localSheetId="5" hidden="1">0</definedName>
    <definedName name="solver_num" localSheetId="8" hidden="1">0</definedName>
    <definedName name="solver_opt" localSheetId="3" hidden="1">'0. Electricity'!$M$5</definedName>
    <definedName name="solver_opt" localSheetId="4" hidden="1">'1. Power'!#REF!</definedName>
    <definedName name="solver_opt" localSheetId="5" hidden="1">'2. Industry'!$Q$5</definedName>
    <definedName name="solver_opt" localSheetId="8" hidden="1">'Trade-off'!#REF!</definedName>
    <definedName name="solver_typ" localSheetId="3" hidden="1">1</definedName>
    <definedName name="solver_typ" localSheetId="4" hidden="1">1</definedName>
    <definedName name="solver_typ" localSheetId="5" hidden="1">1</definedName>
    <definedName name="solver_typ" localSheetId="8" hidden="1">1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8" hidden="1">0</definedName>
    <definedName name="solver_ver" localSheetId="3" hidden="1">3</definedName>
    <definedName name="solver_ver" localSheetId="4" hidden="1">3</definedName>
    <definedName name="solver_ver" localSheetId="5" hidden="1">3</definedName>
    <definedName name="solver_ver" localSheetId="8" hidden="1">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2" i="25" l="1"/>
  <c r="Q21" i="25"/>
  <c r="Q20" i="25"/>
  <c r="Q19" i="25"/>
  <c r="Q18" i="25"/>
  <c r="Q17" i="25"/>
  <c r="Q16" i="25"/>
  <c r="Q15" i="25"/>
  <c r="Q14" i="25"/>
  <c r="Q13" i="25"/>
  <c r="Q12" i="25"/>
  <c r="K22" i="25" l="1"/>
  <c r="K21" i="25"/>
  <c r="K20" i="25"/>
  <c r="K19" i="25"/>
  <c r="K18" i="25"/>
  <c r="K17" i="25"/>
  <c r="K16" i="25"/>
  <c r="K15" i="25"/>
  <c r="K14" i="25"/>
  <c r="K13" i="25"/>
  <c r="K12" i="25"/>
  <c r="R22" i="25"/>
  <c r="R21" i="25"/>
  <c r="R20" i="25"/>
  <c r="R19" i="25"/>
  <c r="R18" i="25"/>
  <c r="R17" i="25"/>
  <c r="R16" i="25"/>
  <c r="R15" i="25"/>
  <c r="R14" i="25"/>
  <c r="R13" i="25"/>
  <c r="R12" i="25"/>
  <c r="C3" i="29"/>
  <c r="C8" i="23"/>
  <c r="G23" i="25"/>
  <c r="J23" i="25" l="1"/>
  <c r="N4" i="23"/>
  <c r="M42" i="23"/>
  <c r="G8" i="30" a="1"/>
  <c r="G8" i="30" s="1"/>
  <c r="J43" i="23"/>
  <c r="H58" i="20"/>
  <c r="B10" i="29" l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B28" i="29" s="1"/>
  <c r="B29" i="29" s="1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B41" i="29" s="1"/>
  <c r="B42" i="29" s="1"/>
  <c r="B43" i="29" s="1"/>
  <c r="B44" i="29" s="1"/>
  <c r="B45" i="29" s="1"/>
  <c r="B46" i="29" s="1"/>
  <c r="B47" i="29" s="1"/>
  <c r="B48" i="29" s="1"/>
  <c r="B49" i="29" s="1"/>
  <c r="B50" i="29" s="1"/>
  <c r="B51" i="29" s="1"/>
  <c r="B52" i="29" s="1"/>
  <c r="B53" i="29" s="1"/>
  <c r="B54" i="29" s="1"/>
  <c r="B55" i="29" s="1"/>
  <c r="B56" i="29" s="1"/>
  <c r="B57" i="29" s="1"/>
  <c r="B58" i="29" s="1"/>
  <c r="B59" i="29" s="1"/>
  <c r="B60" i="29" s="1"/>
  <c r="B61" i="29" s="1"/>
  <c r="B62" i="29" s="1"/>
  <c r="B63" i="29" s="1"/>
  <c r="B64" i="29" s="1"/>
  <c r="B65" i="29" s="1"/>
  <c r="B66" i="29" s="1"/>
  <c r="B67" i="29" s="1"/>
  <c r="B68" i="29" s="1"/>
  <c r="B69" i="29" s="1"/>
  <c r="B70" i="29" s="1"/>
  <c r="B71" i="29" s="1"/>
  <c r="B72" i="29" s="1"/>
  <c r="B73" i="29" s="1"/>
  <c r="B74" i="29" s="1"/>
  <c r="B75" i="29" s="1"/>
  <c r="B76" i="29" s="1"/>
  <c r="B77" i="29" s="1"/>
  <c r="B78" i="29" s="1"/>
  <c r="B79" i="29" s="1"/>
  <c r="B80" i="29" s="1"/>
  <c r="B81" i="29" s="1"/>
  <c r="B82" i="29" s="1"/>
  <c r="B83" i="29" s="1"/>
  <c r="B84" i="29" s="1"/>
  <c r="B85" i="29" s="1"/>
  <c r="B86" i="29" s="1"/>
  <c r="B87" i="29" s="1"/>
  <c r="B88" i="29" s="1"/>
  <c r="B89" i="29" s="1"/>
  <c r="B90" i="29" s="1"/>
  <c r="C7" i="20" l="1"/>
  <c r="C7" i="23"/>
  <c r="C4" i="25"/>
  <c r="M8" i="14"/>
  <c r="M9" i="14" s="1"/>
  <c r="M10" i="14" s="1"/>
  <c r="M11" i="14" s="1"/>
  <c r="M12" i="14" s="1"/>
  <c r="M13" i="14" s="1"/>
  <c r="M14" i="14" s="1"/>
  <c r="M15" i="14" s="1"/>
  <c r="M16" i="14" s="1"/>
  <c r="M17" i="14" s="1"/>
  <c r="M18" i="14" s="1"/>
  <c r="M19" i="14" s="1"/>
  <c r="M20" i="14" s="1"/>
  <c r="M21" i="14" s="1"/>
  <c r="M22" i="14" s="1"/>
  <c r="M23" i="14" s="1"/>
  <c r="M24" i="14" s="1"/>
  <c r="M25" i="14" s="1"/>
  <c r="M26" i="14" s="1"/>
  <c r="M27" i="14" s="1"/>
  <c r="M28" i="14" s="1"/>
  <c r="M29" i="14" s="1"/>
  <c r="M30" i="14" s="1"/>
  <c r="M31" i="14" s="1"/>
  <c r="M32" i="14" s="1"/>
  <c r="M33" i="14" s="1"/>
  <c r="M34" i="14" s="1"/>
  <c r="M35" i="14" s="1"/>
  <c r="M36" i="14" s="1"/>
  <c r="M37" i="14" s="1"/>
  <c r="M38" i="14" s="1"/>
  <c r="M39" i="14" s="1"/>
  <c r="M40" i="14" s="1"/>
  <c r="M41" i="14" s="1"/>
  <c r="M42" i="14" s="1"/>
  <c r="M43" i="14" s="1"/>
  <c r="M44" i="14" s="1"/>
  <c r="M45" i="14" s="1"/>
  <c r="M46" i="14" s="1"/>
  <c r="M47" i="14" s="1"/>
  <c r="M48" i="14" s="1"/>
  <c r="M49" i="14" s="1"/>
  <c r="M50" i="14" s="1"/>
  <c r="M51" i="14" s="1"/>
  <c r="M52" i="14" s="1"/>
  <c r="M53" i="14" s="1"/>
  <c r="M54" i="14" s="1"/>
  <c r="M55" i="14" s="1"/>
  <c r="M56" i="14" s="1"/>
  <c r="M57" i="14" s="1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M58" i="14" l="1"/>
  <c r="P57" i="14"/>
  <c r="V22" i="25"/>
  <c r="O58" i="14" l="1"/>
  <c r="M59" i="14"/>
  <c r="T8" i="25"/>
  <c r="M60" i="14" l="1"/>
  <c r="O60" i="14"/>
  <c r="O59" i="14"/>
  <c r="B9" i="25"/>
  <c r="O72" i="23"/>
  <c r="N72" i="23"/>
  <c r="M72" i="23"/>
  <c r="O71" i="23"/>
  <c r="N71" i="23"/>
  <c r="M71" i="23"/>
  <c r="O70" i="23"/>
  <c r="N70" i="23"/>
  <c r="M70" i="23"/>
  <c r="O69" i="23"/>
  <c r="N69" i="23"/>
  <c r="M69" i="23"/>
  <c r="O68" i="23"/>
  <c r="N68" i="23"/>
  <c r="M68" i="23"/>
  <c r="O67" i="23"/>
  <c r="N67" i="23"/>
  <c r="M67" i="23"/>
  <c r="O66" i="23"/>
  <c r="N66" i="23"/>
  <c r="M66" i="23"/>
  <c r="O65" i="23"/>
  <c r="N65" i="23"/>
  <c r="M65" i="23"/>
  <c r="O64" i="23"/>
  <c r="N64" i="23"/>
  <c r="M64" i="23"/>
  <c r="O63" i="23"/>
  <c r="N63" i="23"/>
  <c r="M63" i="23"/>
  <c r="O62" i="23"/>
  <c r="N62" i="23"/>
  <c r="M62" i="23"/>
  <c r="O61" i="23"/>
  <c r="N61" i="23"/>
  <c r="M61" i="23"/>
  <c r="O60" i="23"/>
  <c r="N60" i="23"/>
  <c r="M60" i="23"/>
  <c r="O59" i="23"/>
  <c r="N59" i="23"/>
  <c r="M59" i="23"/>
  <c r="O58" i="23"/>
  <c r="N58" i="23"/>
  <c r="M58" i="23"/>
  <c r="O57" i="23"/>
  <c r="N57" i="23"/>
  <c r="M57" i="23"/>
  <c r="O56" i="23"/>
  <c r="N56" i="23"/>
  <c r="M56" i="23"/>
  <c r="O55" i="23"/>
  <c r="N55" i="23"/>
  <c r="M55" i="23"/>
  <c r="O54" i="23"/>
  <c r="N54" i="23"/>
  <c r="M54" i="23"/>
  <c r="O53" i="23"/>
  <c r="N53" i="23"/>
  <c r="M53" i="23"/>
  <c r="O52" i="23"/>
  <c r="N52" i="23"/>
  <c r="M52" i="23"/>
  <c r="O51" i="23"/>
  <c r="N51" i="23"/>
  <c r="M51" i="23"/>
  <c r="O50" i="23"/>
  <c r="N50" i="23"/>
  <c r="M50" i="23"/>
  <c r="O49" i="23"/>
  <c r="N49" i="23"/>
  <c r="M49" i="23"/>
  <c r="O48" i="23"/>
  <c r="N48" i="23"/>
  <c r="M48" i="23"/>
  <c r="O47" i="23"/>
  <c r="N47" i="23"/>
  <c r="M47" i="23"/>
  <c r="O46" i="23"/>
  <c r="N46" i="23"/>
  <c r="M46" i="23"/>
  <c r="O45" i="23"/>
  <c r="N45" i="23"/>
  <c r="M45" i="23"/>
  <c r="O44" i="23"/>
  <c r="N44" i="23"/>
  <c r="M44" i="23"/>
  <c r="O43" i="23"/>
  <c r="N43" i="23"/>
  <c r="M43" i="23"/>
  <c r="O42" i="23"/>
  <c r="N42" i="23"/>
  <c r="I43" i="23"/>
  <c r="K43" i="23"/>
  <c r="I44" i="23"/>
  <c r="J44" i="23"/>
  <c r="K44" i="23"/>
  <c r="I45" i="23"/>
  <c r="J45" i="23"/>
  <c r="K45" i="23"/>
  <c r="I46" i="23"/>
  <c r="J46" i="23"/>
  <c r="K46" i="23"/>
  <c r="I47" i="23"/>
  <c r="J47" i="23"/>
  <c r="K47" i="23"/>
  <c r="I48" i="23"/>
  <c r="J48" i="23"/>
  <c r="K48" i="23"/>
  <c r="I49" i="23"/>
  <c r="J49" i="23"/>
  <c r="K49" i="23"/>
  <c r="I50" i="23"/>
  <c r="J50" i="23"/>
  <c r="K50" i="23"/>
  <c r="I51" i="23"/>
  <c r="J51" i="23"/>
  <c r="K51" i="23"/>
  <c r="I52" i="23"/>
  <c r="J52" i="23"/>
  <c r="K52" i="23"/>
  <c r="I53" i="23"/>
  <c r="J53" i="23"/>
  <c r="K53" i="23"/>
  <c r="I54" i="23"/>
  <c r="J54" i="23"/>
  <c r="K54" i="23"/>
  <c r="I55" i="23"/>
  <c r="J55" i="23"/>
  <c r="K55" i="23"/>
  <c r="I56" i="23"/>
  <c r="J56" i="23"/>
  <c r="K56" i="23"/>
  <c r="I57" i="23"/>
  <c r="J57" i="23"/>
  <c r="K57" i="23"/>
  <c r="I58" i="23"/>
  <c r="J58" i="23"/>
  <c r="K58" i="23"/>
  <c r="I59" i="23"/>
  <c r="J59" i="23"/>
  <c r="K59" i="23"/>
  <c r="I60" i="23"/>
  <c r="J60" i="23"/>
  <c r="K60" i="23"/>
  <c r="I61" i="23"/>
  <c r="J61" i="23"/>
  <c r="K61" i="23"/>
  <c r="I62" i="23"/>
  <c r="J62" i="23"/>
  <c r="K62" i="23"/>
  <c r="I63" i="23"/>
  <c r="J63" i="23"/>
  <c r="K63" i="23"/>
  <c r="I64" i="23"/>
  <c r="J64" i="23"/>
  <c r="K64" i="23"/>
  <c r="I65" i="23"/>
  <c r="J65" i="23"/>
  <c r="K65" i="23"/>
  <c r="I66" i="23"/>
  <c r="J66" i="23"/>
  <c r="K66" i="23"/>
  <c r="I67" i="23"/>
  <c r="J67" i="23"/>
  <c r="K67" i="23"/>
  <c r="I68" i="23"/>
  <c r="J68" i="23"/>
  <c r="K68" i="23"/>
  <c r="I69" i="23"/>
  <c r="J69" i="23"/>
  <c r="K69" i="23"/>
  <c r="I70" i="23"/>
  <c r="J70" i="23"/>
  <c r="K70" i="23"/>
  <c r="I71" i="23"/>
  <c r="J71" i="23"/>
  <c r="K71" i="23"/>
  <c r="I72" i="23"/>
  <c r="J72" i="23"/>
  <c r="K72" i="23"/>
  <c r="G8" i="23"/>
  <c r="G9" i="23"/>
  <c r="G10" i="23"/>
  <c r="G11" i="23"/>
  <c r="G12" i="23"/>
  <c r="G13" i="23"/>
  <c r="G14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4" i="23"/>
  <c r="C23" i="23"/>
  <c r="C22" i="23"/>
  <c r="C21" i="23"/>
  <c r="C20" i="23"/>
  <c r="C19" i="23"/>
  <c r="C18" i="23"/>
  <c r="C17" i="23"/>
  <c r="C16" i="23"/>
  <c r="C15" i="23"/>
  <c r="C14" i="23"/>
  <c r="C13" i="23"/>
  <c r="C12" i="23"/>
  <c r="C11" i="23"/>
  <c r="C10" i="23"/>
  <c r="C9" i="23"/>
  <c r="M61" i="14" l="1"/>
  <c r="O61" i="14"/>
  <c r="B10" i="25"/>
  <c r="T9" i="25"/>
  <c r="M41" i="23"/>
  <c r="N41" i="23"/>
  <c r="O41" i="23"/>
  <c r="N5" i="23"/>
  <c r="M62" i="14" l="1"/>
  <c r="O57" i="14"/>
  <c r="O62" i="14"/>
  <c r="M63" i="14"/>
  <c r="B11" i="25"/>
  <c r="T10" i="25"/>
  <c r="D4" i="23"/>
  <c r="C57" i="20"/>
  <c r="C56" i="20"/>
  <c r="C55" i="20"/>
  <c r="C54" i="20"/>
  <c r="C53" i="20"/>
  <c r="C52" i="20"/>
  <c r="C51" i="20"/>
  <c r="C50" i="20"/>
  <c r="C49" i="20"/>
  <c r="C48" i="20"/>
  <c r="C47" i="20"/>
  <c r="C46" i="20"/>
  <c r="C45" i="20"/>
  <c r="C44" i="20"/>
  <c r="C43" i="20"/>
  <c r="C42" i="20"/>
  <c r="C41" i="20"/>
  <c r="C40" i="20"/>
  <c r="C39" i="20"/>
  <c r="C38" i="20"/>
  <c r="C37" i="20"/>
  <c r="C36" i="20"/>
  <c r="C35" i="20"/>
  <c r="C34" i="20"/>
  <c r="C33" i="20"/>
  <c r="C32" i="20"/>
  <c r="C31" i="20"/>
  <c r="C30" i="20"/>
  <c r="C29" i="20"/>
  <c r="C28" i="20"/>
  <c r="C27" i="20"/>
  <c r="C26" i="20"/>
  <c r="C25" i="20"/>
  <c r="C24" i="20"/>
  <c r="C23" i="20"/>
  <c r="C22" i="20"/>
  <c r="C21" i="20"/>
  <c r="C20" i="20"/>
  <c r="C19" i="20"/>
  <c r="C18" i="20"/>
  <c r="C17" i="20"/>
  <c r="C16" i="20"/>
  <c r="C15" i="20"/>
  <c r="C14" i="20"/>
  <c r="C13" i="20"/>
  <c r="C12" i="20"/>
  <c r="C11" i="20"/>
  <c r="C10" i="20"/>
  <c r="C9" i="20"/>
  <c r="C8" i="20"/>
  <c r="K22" i="16"/>
  <c r="I22" i="16"/>
  <c r="J22" i="16"/>
  <c r="H60" i="20"/>
  <c r="H72" i="20"/>
  <c r="H71" i="20"/>
  <c r="H80" i="20"/>
  <c r="F11" i="20"/>
  <c r="H67" i="20"/>
  <c r="H69" i="20"/>
  <c r="F9" i="20"/>
  <c r="H68" i="20"/>
  <c r="H65" i="20"/>
  <c r="H88" i="20"/>
  <c r="H77" i="20"/>
  <c r="H61" i="20"/>
  <c r="F10" i="20"/>
  <c r="H63" i="20"/>
  <c r="F13" i="20"/>
  <c r="H83" i="20"/>
  <c r="H73" i="20"/>
  <c r="H78" i="20"/>
  <c r="H81" i="20"/>
  <c r="H62" i="20"/>
  <c r="H79" i="20"/>
  <c r="H74" i="20"/>
  <c r="H85" i="20"/>
  <c r="H86" i="20"/>
  <c r="H84" i="20"/>
  <c r="H59" i="20"/>
  <c r="H87" i="20"/>
  <c r="F12" i="20"/>
  <c r="H66" i="20"/>
  <c r="H76" i="20"/>
  <c r="F14" i="20"/>
  <c r="H64" i="20"/>
  <c r="H70" i="20"/>
  <c r="F8" i="20"/>
  <c r="H75" i="20"/>
  <c r="H82" i="20"/>
  <c r="P59" i="14" l="1"/>
  <c r="P62" i="14"/>
  <c r="P58" i="14"/>
  <c r="P61" i="14"/>
  <c r="P60" i="14"/>
  <c r="P63" i="14"/>
  <c r="O63" i="14"/>
  <c r="M64" i="14"/>
  <c r="B12" i="25"/>
  <c r="T12" i="25" s="1"/>
  <c r="T11" i="25"/>
  <c r="B9" i="16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J4" i="16"/>
  <c r="G4" i="16"/>
  <c r="I62" i="20"/>
  <c r="I76" i="20"/>
  <c r="J59" i="20"/>
  <c r="I74" i="20"/>
  <c r="J74" i="20"/>
  <c r="I83" i="20"/>
  <c r="I70" i="20"/>
  <c r="I81" i="20"/>
  <c r="J88" i="20"/>
  <c r="I85" i="20"/>
  <c r="I59" i="20"/>
  <c r="I79" i="20"/>
  <c r="I65" i="20"/>
  <c r="J79" i="20"/>
  <c r="J85" i="20"/>
  <c r="J64" i="20"/>
  <c r="I64" i="20"/>
  <c r="J73" i="20"/>
  <c r="J71" i="20"/>
  <c r="J66" i="20"/>
  <c r="I88" i="20"/>
  <c r="I84" i="20"/>
  <c r="J60" i="20"/>
  <c r="I60" i="20"/>
  <c r="J82" i="20"/>
  <c r="J61" i="20"/>
  <c r="J62" i="20"/>
  <c r="J65" i="20"/>
  <c r="I67" i="20"/>
  <c r="J72" i="20"/>
  <c r="I63" i="20"/>
  <c r="I87" i="20"/>
  <c r="J84" i="20"/>
  <c r="I66" i="20"/>
  <c r="J76" i="20"/>
  <c r="I78" i="20"/>
  <c r="J78" i="20"/>
  <c r="J80" i="20"/>
  <c r="I69" i="20"/>
  <c r="J87" i="20"/>
  <c r="I86" i="20"/>
  <c r="I77" i="20"/>
  <c r="I68" i="20"/>
  <c r="J68" i="20"/>
  <c r="J69" i="20"/>
  <c r="I82" i="20"/>
  <c r="J63" i="20"/>
  <c r="I71" i="20"/>
  <c r="J67" i="20"/>
  <c r="I72" i="20"/>
  <c r="J75" i="20"/>
  <c r="J83" i="20"/>
  <c r="J70" i="20"/>
  <c r="J81" i="20"/>
  <c r="I73" i="20"/>
  <c r="J86" i="20"/>
  <c r="I80" i="20"/>
  <c r="I75" i="20"/>
  <c r="J77" i="20"/>
  <c r="I61" i="20"/>
  <c r="J58" i="20"/>
  <c r="I58" i="20"/>
  <c r="P64" i="14" l="1"/>
  <c r="O64" i="14"/>
  <c r="M65" i="14"/>
  <c r="B13" i="25"/>
  <c r="K53" i="16"/>
  <c r="J51" i="16"/>
  <c r="I48" i="16"/>
  <c r="C48" i="25" s="1"/>
  <c r="K45" i="16"/>
  <c r="J43" i="16"/>
  <c r="I40" i="16"/>
  <c r="C40" i="25" s="1"/>
  <c r="K37" i="16"/>
  <c r="J35" i="16"/>
  <c r="I32" i="16"/>
  <c r="C32" i="25" s="1"/>
  <c r="K29" i="16"/>
  <c r="J27" i="16"/>
  <c r="I24" i="16"/>
  <c r="C24" i="25" s="1"/>
  <c r="I52" i="16"/>
  <c r="C52" i="25" s="1"/>
  <c r="K41" i="16"/>
  <c r="I28" i="16"/>
  <c r="C28" i="25" s="1"/>
  <c r="I43" i="16"/>
  <c r="C43" i="25" s="1"/>
  <c r="I53" i="16"/>
  <c r="C53" i="25" s="1"/>
  <c r="K50" i="16"/>
  <c r="J48" i="16"/>
  <c r="I45" i="16"/>
  <c r="C45" i="25" s="1"/>
  <c r="K42" i="16"/>
  <c r="J40" i="16"/>
  <c r="I37" i="16"/>
  <c r="C37" i="25" s="1"/>
  <c r="K34" i="16"/>
  <c r="J32" i="16"/>
  <c r="I29" i="16"/>
  <c r="C29" i="25" s="1"/>
  <c r="K26" i="16"/>
  <c r="J24" i="16"/>
  <c r="I44" i="16"/>
  <c r="C44" i="25" s="1"/>
  <c r="I36" i="16"/>
  <c r="C36" i="25" s="1"/>
  <c r="J23" i="16"/>
  <c r="K32" i="16"/>
  <c r="J53" i="16"/>
  <c r="I50" i="16"/>
  <c r="C50" i="25" s="1"/>
  <c r="K47" i="16"/>
  <c r="J45" i="16"/>
  <c r="I42" i="16"/>
  <c r="C42" i="25" s="1"/>
  <c r="K39" i="16"/>
  <c r="J37" i="16"/>
  <c r="I34" i="16"/>
  <c r="C34" i="25" s="1"/>
  <c r="K31" i="16"/>
  <c r="J29" i="16"/>
  <c r="I26" i="16"/>
  <c r="C26" i="25" s="1"/>
  <c r="K23" i="16"/>
  <c r="K49" i="16"/>
  <c r="J39" i="16"/>
  <c r="J31" i="16"/>
  <c r="J46" i="16"/>
  <c r="K52" i="16"/>
  <c r="J50" i="16"/>
  <c r="I47" i="16"/>
  <c r="C47" i="25" s="1"/>
  <c r="K44" i="16"/>
  <c r="J42" i="16"/>
  <c r="I39" i="16"/>
  <c r="C39" i="25" s="1"/>
  <c r="K36" i="16"/>
  <c r="J34" i="16"/>
  <c r="I31" i="16"/>
  <c r="C31" i="25" s="1"/>
  <c r="K28" i="16"/>
  <c r="J26" i="16"/>
  <c r="I23" i="16"/>
  <c r="C23" i="25" s="1"/>
  <c r="J47" i="16"/>
  <c r="K33" i="16"/>
  <c r="K25" i="16"/>
  <c r="J38" i="16"/>
  <c r="J52" i="16"/>
  <c r="I49" i="16"/>
  <c r="C49" i="25" s="1"/>
  <c r="K46" i="16"/>
  <c r="J44" i="16"/>
  <c r="I41" i="16"/>
  <c r="C41" i="25" s="1"/>
  <c r="K38" i="16"/>
  <c r="J36" i="16"/>
  <c r="I33" i="16"/>
  <c r="C33" i="25" s="1"/>
  <c r="K30" i="16"/>
  <c r="J28" i="16"/>
  <c r="I25" i="16"/>
  <c r="C25" i="25" s="1"/>
  <c r="K43" i="16"/>
  <c r="K35" i="16"/>
  <c r="I30" i="16"/>
  <c r="C30" i="25" s="1"/>
  <c r="J25" i="16"/>
  <c r="K48" i="16"/>
  <c r="K40" i="16"/>
  <c r="J30" i="16"/>
  <c r="K24" i="16"/>
  <c r="K51" i="16"/>
  <c r="J49" i="16"/>
  <c r="I46" i="16"/>
  <c r="C46" i="25" s="1"/>
  <c r="J41" i="16"/>
  <c r="I38" i="16"/>
  <c r="C38" i="25" s="1"/>
  <c r="J33" i="16"/>
  <c r="K27" i="16"/>
  <c r="I51" i="16"/>
  <c r="C51" i="25" s="1"/>
  <c r="I35" i="16"/>
  <c r="C35" i="25" s="1"/>
  <c r="I27" i="16"/>
  <c r="C27" i="25" s="1"/>
  <c r="Q35" i="25" l="1"/>
  <c r="K35" i="25" s="1"/>
  <c r="R35" i="25"/>
  <c r="Q23" i="25"/>
  <c r="K23" i="25" s="1"/>
  <c r="R23" i="25"/>
  <c r="Q45" i="25"/>
  <c r="K45" i="25" s="1"/>
  <c r="R45" i="25"/>
  <c r="Q24" i="25"/>
  <c r="K24" i="25" s="1"/>
  <c r="R24" i="25"/>
  <c r="Q47" i="25"/>
  <c r="K47" i="25" s="1"/>
  <c r="R47" i="25"/>
  <c r="Q26" i="25"/>
  <c r="K26" i="25" s="1"/>
  <c r="R26" i="25"/>
  <c r="Q48" i="25"/>
  <c r="K48" i="25" s="1"/>
  <c r="R48" i="25"/>
  <c r="Q49" i="25"/>
  <c r="K49" i="25" s="1"/>
  <c r="R49" i="25"/>
  <c r="Q50" i="25"/>
  <c r="K50" i="25" s="1"/>
  <c r="R50" i="25"/>
  <c r="Q29" i="25"/>
  <c r="K29" i="25" s="1"/>
  <c r="R29" i="25"/>
  <c r="Q25" i="25"/>
  <c r="K25" i="25" s="1"/>
  <c r="R25" i="25"/>
  <c r="Q31" i="25"/>
  <c r="K31" i="25" s="1"/>
  <c r="R31" i="25"/>
  <c r="Q53" i="25"/>
  <c r="K53" i="25" s="1"/>
  <c r="R53" i="25"/>
  <c r="Q32" i="25"/>
  <c r="K32" i="25" s="1"/>
  <c r="R32" i="25"/>
  <c r="Q51" i="25"/>
  <c r="K51" i="25" s="1"/>
  <c r="R51" i="25"/>
  <c r="Q33" i="25"/>
  <c r="K33" i="25" s="1"/>
  <c r="R33" i="25"/>
  <c r="Q34" i="25"/>
  <c r="K34" i="25" s="1"/>
  <c r="R34" i="25"/>
  <c r="Q43" i="25"/>
  <c r="K43" i="25" s="1"/>
  <c r="R43" i="25"/>
  <c r="Q27" i="25"/>
  <c r="K27" i="25" s="1"/>
  <c r="R27" i="25"/>
  <c r="Q38" i="25"/>
  <c r="K38" i="25" s="1"/>
  <c r="R38" i="25"/>
  <c r="Q37" i="25"/>
  <c r="K37" i="25" s="1"/>
  <c r="R37" i="25"/>
  <c r="Q28" i="25"/>
  <c r="K28" i="25" s="1"/>
  <c r="R28" i="25"/>
  <c r="Q46" i="25"/>
  <c r="K46" i="25" s="1"/>
  <c r="R46" i="25"/>
  <c r="Q30" i="25"/>
  <c r="K30" i="25" s="1"/>
  <c r="R30" i="25"/>
  <c r="Q39" i="25"/>
  <c r="K39" i="25" s="1"/>
  <c r="R39" i="25"/>
  <c r="Q36" i="25"/>
  <c r="K36" i="25" s="1"/>
  <c r="R36" i="25"/>
  <c r="Q40" i="25"/>
  <c r="K40" i="25" s="1"/>
  <c r="R40" i="25"/>
  <c r="Q41" i="25"/>
  <c r="K41" i="25" s="1"/>
  <c r="R41" i="25"/>
  <c r="Q42" i="25"/>
  <c r="K42" i="25" s="1"/>
  <c r="R42" i="25"/>
  <c r="Q44" i="25"/>
  <c r="K44" i="25" s="1"/>
  <c r="R44" i="25"/>
  <c r="Q52" i="25"/>
  <c r="K52" i="25" s="1"/>
  <c r="R52" i="25"/>
  <c r="O65" i="14"/>
  <c r="P65" i="14"/>
  <c r="M66" i="14"/>
  <c r="U12" i="25"/>
  <c r="B14" i="25"/>
  <c r="T13" i="25"/>
  <c r="D4" i="16"/>
  <c r="V23" i="25" l="1"/>
  <c r="O66" i="14"/>
  <c r="P66" i="14"/>
  <c r="M67" i="14"/>
  <c r="U13" i="25"/>
  <c r="B15" i="25"/>
  <c r="T14" i="25"/>
  <c r="G9" i="14"/>
  <c r="K9" i="14" s="1"/>
  <c r="G10" i="14"/>
  <c r="K10" i="14" s="1"/>
  <c r="G11" i="14"/>
  <c r="K11" i="14" s="1"/>
  <c r="G12" i="14"/>
  <c r="K12" i="14" s="1"/>
  <c r="G13" i="14"/>
  <c r="K13" i="14" s="1"/>
  <c r="G14" i="14"/>
  <c r="K14" i="14" s="1"/>
  <c r="G15" i="14"/>
  <c r="K15" i="14" s="1"/>
  <c r="G16" i="14"/>
  <c r="K16" i="14" s="1"/>
  <c r="G17" i="14"/>
  <c r="K17" i="14" s="1"/>
  <c r="G18" i="14"/>
  <c r="K18" i="14" s="1"/>
  <c r="G19" i="14"/>
  <c r="K19" i="14" s="1"/>
  <c r="G20" i="14"/>
  <c r="K20" i="14" s="1"/>
  <c r="G21" i="14"/>
  <c r="K21" i="14" s="1"/>
  <c r="G22" i="14"/>
  <c r="K22" i="14" s="1"/>
  <c r="G23" i="14"/>
  <c r="K23" i="14" s="1"/>
  <c r="G24" i="14"/>
  <c r="K24" i="14" s="1"/>
  <c r="G25" i="14"/>
  <c r="K25" i="14" s="1"/>
  <c r="G26" i="14"/>
  <c r="K26" i="14" s="1"/>
  <c r="G27" i="14"/>
  <c r="K27" i="14" s="1"/>
  <c r="G28" i="14"/>
  <c r="K28" i="14" s="1"/>
  <c r="G29" i="14"/>
  <c r="K29" i="14" s="1"/>
  <c r="G30" i="14"/>
  <c r="K30" i="14" s="1"/>
  <c r="G31" i="14"/>
  <c r="K31" i="14" s="1"/>
  <c r="G32" i="14"/>
  <c r="K32" i="14" s="1"/>
  <c r="G33" i="14"/>
  <c r="K33" i="14" s="1"/>
  <c r="G34" i="14"/>
  <c r="K34" i="14" s="1"/>
  <c r="G35" i="14"/>
  <c r="K35" i="14" s="1"/>
  <c r="G36" i="14"/>
  <c r="K36" i="14" s="1"/>
  <c r="G37" i="14"/>
  <c r="K37" i="14" s="1"/>
  <c r="G38" i="14"/>
  <c r="K38" i="14" s="1"/>
  <c r="G39" i="14"/>
  <c r="K39" i="14" s="1"/>
  <c r="G40" i="14"/>
  <c r="K40" i="14" s="1"/>
  <c r="G41" i="14"/>
  <c r="K41" i="14" s="1"/>
  <c r="G42" i="14"/>
  <c r="K42" i="14" s="1"/>
  <c r="G43" i="14"/>
  <c r="K43" i="14" s="1"/>
  <c r="G44" i="14"/>
  <c r="K44" i="14" s="1"/>
  <c r="G45" i="14"/>
  <c r="K45" i="14" s="1"/>
  <c r="G46" i="14"/>
  <c r="K46" i="14" s="1"/>
  <c r="G47" i="14"/>
  <c r="K47" i="14" s="1"/>
  <c r="G48" i="14"/>
  <c r="K48" i="14" s="1"/>
  <c r="G49" i="14"/>
  <c r="K49" i="14" s="1"/>
  <c r="G50" i="14"/>
  <c r="K50" i="14" s="1"/>
  <c r="G51" i="14"/>
  <c r="K51" i="14" s="1"/>
  <c r="G52" i="14"/>
  <c r="K52" i="14" s="1"/>
  <c r="G53" i="14"/>
  <c r="K53" i="14" s="1"/>
  <c r="G54" i="14"/>
  <c r="K54" i="14" s="1"/>
  <c r="G55" i="14"/>
  <c r="K55" i="14" s="1"/>
  <c r="G56" i="14"/>
  <c r="K56" i="14" s="1"/>
  <c r="G57" i="14"/>
  <c r="K57" i="14" s="1"/>
  <c r="G8" i="14"/>
  <c r="K8" i="14" s="1"/>
  <c r="P67" i="14" l="1"/>
  <c r="O67" i="14"/>
  <c r="M68" i="14"/>
  <c r="U14" i="25"/>
  <c r="B16" i="25"/>
  <c r="T15" i="25"/>
  <c r="J54" i="14"/>
  <c r="J21" i="14"/>
  <c r="J22" i="14"/>
  <c r="H14" i="14"/>
  <c r="H30" i="14"/>
  <c r="J37" i="14"/>
  <c r="J28" i="14"/>
  <c r="H36" i="14"/>
  <c r="J42" i="14"/>
  <c r="H50" i="14"/>
  <c r="J56" i="14"/>
  <c r="H8" i="14"/>
  <c r="J14" i="14"/>
  <c r="H22" i="14"/>
  <c r="J29" i="14"/>
  <c r="J36" i="14"/>
  <c r="H44" i="14"/>
  <c r="J50" i="14"/>
  <c r="H52" i="14"/>
  <c r="H10" i="14"/>
  <c r="J16" i="14"/>
  <c r="H24" i="14"/>
  <c r="J30" i="14"/>
  <c r="H38" i="14"/>
  <c r="J45" i="14"/>
  <c r="J52" i="14"/>
  <c r="H16" i="14"/>
  <c r="J44" i="14"/>
  <c r="J10" i="14"/>
  <c r="H18" i="14"/>
  <c r="J24" i="14"/>
  <c r="H32" i="14"/>
  <c r="J38" i="14"/>
  <c r="H46" i="14"/>
  <c r="J53" i="14"/>
  <c r="J8" i="14"/>
  <c r="H12" i="14"/>
  <c r="J18" i="14"/>
  <c r="H26" i="14"/>
  <c r="J32" i="14"/>
  <c r="H40" i="14"/>
  <c r="J46" i="14"/>
  <c r="H54" i="14"/>
  <c r="J12" i="14"/>
  <c r="H20" i="14"/>
  <c r="J26" i="14"/>
  <c r="H34" i="14"/>
  <c r="J40" i="14"/>
  <c r="H48" i="14"/>
  <c r="J13" i="14"/>
  <c r="J20" i="14"/>
  <c r="H28" i="14"/>
  <c r="J34" i="14"/>
  <c r="H42" i="14"/>
  <c r="J48" i="14"/>
  <c r="H56" i="14"/>
  <c r="I8" i="14"/>
  <c r="I10" i="14"/>
  <c r="I12" i="14"/>
  <c r="I14" i="14"/>
  <c r="I16" i="14"/>
  <c r="I18" i="14"/>
  <c r="I20" i="14"/>
  <c r="I22" i="14"/>
  <c r="I24" i="14"/>
  <c r="I26" i="14"/>
  <c r="I28" i="14"/>
  <c r="I30" i="14"/>
  <c r="I32" i="14"/>
  <c r="I34" i="14"/>
  <c r="I36" i="14"/>
  <c r="I38" i="14"/>
  <c r="I40" i="14"/>
  <c r="I42" i="14"/>
  <c r="I44" i="14"/>
  <c r="I46" i="14"/>
  <c r="I48" i="14"/>
  <c r="I50" i="14"/>
  <c r="I52" i="14"/>
  <c r="I54" i="14"/>
  <c r="I56" i="14"/>
  <c r="H9" i="14"/>
  <c r="H11" i="14"/>
  <c r="H13" i="14"/>
  <c r="H15" i="14"/>
  <c r="H17" i="14"/>
  <c r="H19" i="14"/>
  <c r="H21" i="14"/>
  <c r="H23" i="14"/>
  <c r="H25" i="14"/>
  <c r="H27" i="14"/>
  <c r="H29" i="14"/>
  <c r="H31" i="14"/>
  <c r="H33" i="14"/>
  <c r="H35" i="14"/>
  <c r="H37" i="14"/>
  <c r="H39" i="14"/>
  <c r="H41" i="14"/>
  <c r="H43" i="14"/>
  <c r="H45" i="14"/>
  <c r="H47" i="14"/>
  <c r="H49" i="14"/>
  <c r="H51" i="14"/>
  <c r="H53" i="14"/>
  <c r="H55" i="14"/>
  <c r="H57" i="14"/>
  <c r="I9" i="14"/>
  <c r="I11" i="14"/>
  <c r="I13" i="14"/>
  <c r="I15" i="14"/>
  <c r="I17" i="14"/>
  <c r="I19" i="14"/>
  <c r="I21" i="14"/>
  <c r="I23" i="14"/>
  <c r="I25" i="14"/>
  <c r="I27" i="14"/>
  <c r="I29" i="14"/>
  <c r="I31" i="14"/>
  <c r="I33" i="14"/>
  <c r="I35" i="14"/>
  <c r="I37" i="14"/>
  <c r="I39" i="14"/>
  <c r="I41" i="14"/>
  <c r="I43" i="14"/>
  <c r="I45" i="14"/>
  <c r="I47" i="14"/>
  <c r="I49" i="14"/>
  <c r="I51" i="14"/>
  <c r="I53" i="14"/>
  <c r="I55" i="14"/>
  <c r="I57" i="14"/>
  <c r="J9" i="14"/>
  <c r="J11" i="14"/>
  <c r="J15" i="14"/>
  <c r="J17" i="14"/>
  <c r="J19" i="14"/>
  <c r="J23" i="14"/>
  <c r="J25" i="14"/>
  <c r="J27" i="14"/>
  <c r="J31" i="14"/>
  <c r="J33" i="14"/>
  <c r="J35" i="14"/>
  <c r="J39" i="14"/>
  <c r="J41" i="14"/>
  <c r="J43" i="14"/>
  <c r="J47" i="14"/>
  <c r="J49" i="14"/>
  <c r="J51" i="14"/>
  <c r="J55" i="14"/>
  <c r="J57" i="14"/>
  <c r="P68" i="14" l="1"/>
  <c r="O68" i="14"/>
  <c r="M69" i="14"/>
  <c r="U15" i="25"/>
  <c r="B17" i="25"/>
  <c r="T16" i="25"/>
  <c r="O69" i="14" l="1"/>
  <c r="P69" i="14"/>
  <c r="M70" i="14"/>
  <c r="U16" i="25"/>
  <c r="B18" i="25"/>
  <c r="T17" i="25"/>
  <c r="P70" i="14" l="1"/>
  <c r="O70" i="14"/>
  <c r="M71" i="14"/>
  <c r="U17" i="25"/>
  <c r="B19" i="25"/>
  <c r="T18" i="25"/>
  <c r="P71" i="14" l="1"/>
  <c r="O71" i="14"/>
  <c r="M72" i="14"/>
  <c r="U18" i="25"/>
  <c r="B20" i="25"/>
  <c r="T19" i="25"/>
  <c r="P72" i="14" l="1"/>
  <c r="O72" i="14"/>
  <c r="M73" i="14"/>
  <c r="U19" i="25"/>
  <c r="B21" i="25"/>
  <c r="T20" i="25"/>
  <c r="O73" i="14" l="1"/>
  <c r="P73" i="14"/>
  <c r="M74" i="14"/>
  <c r="U20" i="25"/>
  <c r="B22" i="25"/>
  <c r="T21" i="25"/>
  <c r="P74" i="14" l="1"/>
  <c r="O74" i="14"/>
  <c r="M75" i="14"/>
  <c r="U21" i="25"/>
  <c r="B23" i="25"/>
  <c r="T22" i="25"/>
  <c r="B24" i="25" l="1"/>
  <c r="B25" i="25" s="1"/>
  <c r="B26" i="25" s="1"/>
  <c r="B27" i="25" s="1"/>
  <c r="B28" i="25" s="1"/>
  <c r="B29" i="25" s="1"/>
  <c r="B30" i="25" s="1"/>
  <c r="B31" i="25" s="1"/>
  <c r="B32" i="25" s="1"/>
  <c r="B33" i="25" s="1"/>
  <c r="F4" i="25"/>
  <c r="G24" i="25" s="1"/>
  <c r="P75" i="14"/>
  <c r="O75" i="14"/>
  <c r="M76" i="14"/>
  <c r="U22" i="25"/>
  <c r="B34" i="25"/>
  <c r="B35" i="25" l="1"/>
  <c r="B36" i="25" s="1"/>
  <c r="B37" i="25" s="1"/>
  <c r="B38" i="25" s="1"/>
  <c r="B39" i="25" s="1"/>
  <c r="B40" i="25" s="1"/>
  <c r="B41" i="25" s="1"/>
  <c r="B42" i="25" s="1"/>
  <c r="B43" i="25" s="1"/>
  <c r="B44" i="25" s="1"/>
  <c r="B45" i="25" s="1"/>
  <c r="B46" i="25" s="1"/>
  <c r="B47" i="25" s="1"/>
  <c r="B48" i="25" s="1"/>
  <c r="B49" i="25" s="1"/>
  <c r="B50" i="25" s="1"/>
  <c r="B51" i="25" s="1"/>
  <c r="B52" i="25" s="1"/>
  <c r="B53" i="25" s="1"/>
  <c r="O24" i="25" a="1"/>
  <c r="O24" i="25" s="1"/>
  <c r="P24" i="25"/>
  <c r="J24" i="25"/>
  <c r="G25" i="25"/>
  <c r="G26" i="25" s="1"/>
  <c r="G27" i="25" s="1"/>
  <c r="G28" i="25" s="1"/>
  <c r="G29" i="25" s="1"/>
  <c r="G30" i="25" s="1"/>
  <c r="G31" i="25" s="1"/>
  <c r="G32" i="25" s="1"/>
  <c r="G33" i="25" s="1"/>
  <c r="G34" i="25" s="1"/>
  <c r="G35" i="25" s="1"/>
  <c r="G36" i="25" s="1"/>
  <c r="G37" i="25" s="1"/>
  <c r="G38" i="25" s="1"/>
  <c r="G39" i="25" s="1"/>
  <c r="G40" i="25" s="1"/>
  <c r="G41" i="25" s="1"/>
  <c r="G42" i="25" s="1"/>
  <c r="G43" i="25" s="1"/>
  <c r="G44" i="25" s="1"/>
  <c r="G45" i="25" s="1"/>
  <c r="G46" i="25" s="1"/>
  <c r="G47" i="25" s="1"/>
  <c r="G48" i="25" s="1"/>
  <c r="G49" i="25" s="1"/>
  <c r="G50" i="25" s="1"/>
  <c r="G51" i="25" s="1"/>
  <c r="G52" i="25" s="1"/>
  <c r="G53" i="25" s="1"/>
  <c r="O76" i="14"/>
  <c r="P76" i="14"/>
  <c r="M77" i="14"/>
  <c r="U53" i="25"/>
  <c r="U45" i="25"/>
  <c r="U37" i="25"/>
  <c r="U29" i="25"/>
  <c r="U52" i="25"/>
  <c r="U51" i="25"/>
  <c r="U43" i="25"/>
  <c r="U35" i="25"/>
  <c r="U27" i="25"/>
  <c r="U42" i="25"/>
  <c r="U49" i="25"/>
  <c r="U41" i="25"/>
  <c r="U33" i="25"/>
  <c r="U25" i="25"/>
  <c r="U28" i="25"/>
  <c r="U23" i="25"/>
  <c r="W23" i="25" s="1"/>
  <c r="U48" i="25"/>
  <c r="U40" i="25"/>
  <c r="U32" i="25"/>
  <c r="U24" i="25"/>
  <c r="U50" i="25"/>
  <c r="U47" i="25"/>
  <c r="U39" i="25"/>
  <c r="U31" i="25"/>
  <c r="U36" i="25"/>
  <c r="U34" i="25"/>
  <c r="U46" i="25"/>
  <c r="U38" i="25"/>
  <c r="U30" i="25"/>
  <c r="U44" i="25"/>
  <c r="U26" i="25"/>
  <c r="W22" i="25"/>
  <c r="P51" i="25"/>
  <c r="P43" i="25"/>
  <c r="P35" i="25"/>
  <c r="P27" i="25"/>
  <c r="V50" i="25"/>
  <c r="V53" i="25"/>
  <c r="V49" i="25"/>
  <c r="V45" i="25"/>
  <c r="V41" i="25"/>
  <c r="V37" i="25"/>
  <c r="V33" i="25"/>
  <c r="V29" i="25"/>
  <c r="P50" i="25"/>
  <c r="P42" i="25"/>
  <c r="P34" i="25"/>
  <c r="P26" i="25"/>
  <c r="V42" i="25"/>
  <c r="P49" i="25"/>
  <c r="W49" i="25" s="1"/>
  <c r="P41" i="25"/>
  <c r="P33" i="25"/>
  <c r="V38" i="25"/>
  <c r="P36" i="25"/>
  <c r="V52" i="25"/>
  <c r="V48" i="25"/>
  <c r="V44" i="25"/>
  <c r="V40" i="25"/>
  <c r="V36" i="25"/>
  <c r="V32" i="25"/>
  <c r="V28" i="25"/>
  <c r="P48" i="25"/>
  <c r="P40" i="25"/>
  <c r="P32" i="25"/>
  <c r="P47" i="25"/>
  <c r="P39" i="25"/>
  <c r="P31" i="25"/>
  <c r="V46" i="25"/>
  <c r="P44" i="25"/>
  <c r="V51" i="25"/>
  <c r="V47" i="25"/>
  <c r="V43" i="25"/>
  <c r="V39" i="25"/>
  <c r="V35" i="25"/>
  <c r="V31" i="25"/>
  <c r="V27" i="25"/>
  <c r="P46" i="25"/>
  <c r="P38" i="25"/>
  <c r="P30" i="25"/>
  <c r="P53" i="25"/>
  <c r="V34" i="25"/>
  <c r="P52" i="25"/>
  <c r="P45" i="25"/>
  <c r="P37" i="25"/>
  <c r="P29" i="25"/>
  <c r="V30" i="25"/>
  <c r="V26" i="25"/>
  <c r="P28" i="25"/>
  <c r="J25" i="25"/>
  <c r="W41" i="25" l="1"/>
  <c r="N76" i="14" s="1"/>
  <c r="Q76" i="14" s="1"/>
  <c r="R76" i="14" s="1"/>
  <c r="W53" i="25"/>
  <c r="W44" i="25"/>
  <c r="X44" i="25" s="1"/>
  <c r="W24" i="25"/>
  <c r="W33" i="25"/>
  <c r="X33" i="25" s="1"/>
  <c r="V24" i="25"/>
  <c r="W52" i="25"/>
  <c r="X52" i="25" s="1"/>
  <c r="W50" i="25"/>
  <c r="X50" i="25" s="1"/>
  <c r="P77" i="14"/>
  <c r="O77" i="14"/>
  <c r="N59" i="14"/>
  <c r="Q59" i="14" s="1"/>
  <c r="W30" i="25"/>
  <c r="X22" i="25"/>
  <c r="N57" i="14"/>
  <c r="Q57" i="14" s="1"/>
  <c r="X23" i="25"/>
  <c r="N58" i="14"/>
  <c r="Q58" i="14" s="1"/>
  <c r="W46" i="25"/>
  <c r="W48" i="25"/>
  <c r="W36" i="25"/>
  <c r="M78" i="14"/>
  <c r="W28" i="25"/>
  <c r="W27" i="25"/>
  <c r="W47" i="25"/>
  <c r="X47" i="25" s="1"/>
  <c r="W45" i="25"/>
  <c r="X45" i="25" s="1"/>
  <c r="W39" i="25"/>
  <c r="X39" i="25" s="1"/>
  <c r="W40" i="25"/>
  <c r="W34" i="25"/>
  <c r="W38" i="25"/>
  <c r="W42" i="25"/>
  <c r="W29" i="25"/>
  <c r="W37" i="25"/>
  <c r="W32" i="25"/>
  <c r="W43" i="25"/>
  <c r="W51" i="25"/>
  <c r="W26" i="25"/>
  <c r="W31" i="25"/>
  <c r="W35" i="25"/>
  <c r="X49" i="25"/>
  <c r="X41" i="25"/>
  <c r="X53" i="25"/>
  <c r="V25" i="25"/>
  <c r="P25" i="25"/>
  <c r="W25" i="25" s="1"/>
  <c r="J26" i="25"/>
  <c r="X24" i="25" l="1"/>
  <c r="N68" i="14"/>
  <c r="Q68" i="14" s="1"/>
  <c r="R68" i="14" s="1"/>
  <c r="X38" i="25"/>
  <c r="X30" i="25"/>
  <c r="N63" i="14"/>
  <c r="Q63" i="14" s="1"/>
  <c r="P78" i="14"/>
  <c r="O78" i="14"/>
  <c r="N60" i="14"/>
  <c r="Q60" i="14" s="1"/>
  <c r="N71" i="14"/>
  <c r="Q71" i="14" s="1"/>
  <c r="R71" i="14" s="1"/>
  <c r="N75" i="14"/>
  <c r="N73" i="14"/>
  <c r="Q73" i="14" s="1"/>
  <c r="N65" i="14"/>
  <c r="Q65" i="14" s="1"/>
  <c r="R65" i="14" s="1"/>
  <c r="N74" i="14"/>
  <c r="X46" i="25"/>
  <c r="X28" i="25"/>
  <c r="X48" i="25"/>
  <c r="X26" i="25"/>
  <c r="N61" i="14"/>
  <c r="Q61" i="14" s="1"/>
  <c r="X34" i="25"/>
  <c r="N69" i="14"/>
  <c r="Q69" i="14" s="1"/>
  <c r="X40" i="25"/>
  <c r="R58" i="14"/>
  <c r="R59" i="14"/>
  <c r="X36" i="25"/>
  <c r="X37" i="25"/>
  <c r="N72" i="14"/>
  <c r="Q72" i="14" s="1"/>
  <c r="X32" i="25"/>
  <c r="N67" i="14"/>
  <c r="Q67" i="14" s="1"/>
  <c r="X29" i="25"/>
  <c r="N64" i="14"/>
  <c r="Q64" i="14" s="1"/>
  <c r="X27" i="25"/>
  <c r="N62" i="14"/>
  <c r="R57" i="14"/>
  <c r="X35" i="25"/>
  <c r="N70" i="14"/>
  <c r="Q70" i="14" s="1"/>
  <c r="X42" i="25"/>
  <c r="N77" i="14"/>
  <c r="Q77" i="14" s="1"/>
  <c r="X51" i="25"/>
  <c r="X43" i="25"/>
  <c r="N78" i="14"/>
  <c r="X31" i="25"/>
  <c r="N66" i="14"/>
  <c r="M79" i="14"/>
  <c r="X25" i="25"/>
  <c r="J27" i="25"/>
  <c r="R60" i="14" l="1"/>
  <c r="R63" i="14"/>
  <c r="R73" i="14"/>
  <c r="Q62" i="14"/>
  <c r="R62" i="14" s="1"/>
  <c r="Q66" i="14"/>
  <c r="R66" i="14" s="1"/>
  <c r="Q75" i="14"/>
  <c r="R75" i="14" s="1"/>
  <c r="Q78" i="14"/>
  <c r="R78" i="14" s="1"/>
  <c r="P79" i="14"/>
  <c r="O79" i="14"/>
  <c r="N79" i="14"/>
  <c r="Q74" i="14"/>
  <c r="R74" i="14" s="1"/>
  <c r="R72" i="14"/>
  <c r="R69" i="14"/>
  <c r="R67" i="14"/>
  <c r="R70" i="14"/>
  <c r="R77" i="14"/>
  <c r="R64" i="14"/>
  <c r="R61" i="14"/>
  <c r="M80" i="14"/>
  <c r="J28" i="25"/>
  <c r="P80" i="14" l="1"/>
  <c r="O80" i="14"/>
  <c r="N80" i="14"/>
  <c r="Q79" i="14"/>
  <c r="R79" i="14" s="1"/>
  <c r="M81" i="14"/>
  <c r="J29" i="25"/>
  <c r="Q80" i="14" l="1"/>
  <c r="R80" i="14" s="1"/>
  <c r="P81" i="14"/>
  <c r="O81" i="14"/>
  <c r="N81" i="14"/>
  <c r="M82" i="14"/>
  <c r="J30" i="25"/>
  <c r="Q81" i="14" l="1"/>
  <c r="R81" i="14" s="1"/>
  <c r="P82" i="14"/>
  <c r="O82" i="14"/>
  <c r="N82" i="14"/>
  <c r="M83" i="14"/>
  <c r="J31" i="25"/>
  <c r="Q82" i="14" l="1"/>
  <c r="R82" i="14" s="1"/>
  <c r="O83" i="14"/>
  <c r="P83" i="14"/>
  <c r="N83" i="14"/>
  <c r="M84" i="14"/>
  <c r="J32" i="25"/>
  <c r="O84" i="14" l="1"/>
  <c r="P84" i="14"/>
  <c r="N84" i="14"/>
  <c r="Q83" i="14"/>
  <c r="R83" i="14" s="1"/>
  <c r="M85" i="14"/>
  <c r="J33" i="25"/>
  <c r="Q84" i="14" l="1"/>
  <c r="R84" i="14" s="1"/>
  <c r="P85" i="14"/>
  <c r="O85" i="14"/>
  <c r="N85" i="14"/>
  <c r="M86" i="14"/>
  <c r="J34" i="25"/>
  <c r="Q85" i="14" l="1"/>
  <c r="R85" i="14" s="1"/>
  <c r="P86" i="14"/>
  <c r="O86" i="14"/>
  <c r="N86" i="14"/>
  <c r="M87" i="14"/>
  <c r="J35" i="25"/>
  <c r="P87" i="14" l="1"/>
  <c r="O87" i="14"/>
  <c r="N87" i="14"/>
  <c r="Q86" i="14"/>
  <c r="R86" i="14" s="1"/>
  <c r="M88" i="14"/>
  <c r="J36" i="25"/>
  <c r="Q87" i="14" l="1"/>
  <c r="R87" i="14" s="1"/>
  <c r="P88" i="14"/>
  <c r="O88" i="14"/>
  <c r="N88" i="14"/>
  <c r="J37" i="25"/>
  <c r="Q88" i="14" l="1"/>
  <c r="R88" i="14" s="1"/>
  <c r="J38" i="25"/>
  <c r="J39" i="25" l="1"/>
  <c r="J40" i="25" l="1"/>
  <c r="J41" i="25" l="1"/>
  <c r="J42" i="25" l="1"/>
  <c r="J43" i="25" l="1"/>
  <c r="J44" i="25" l="1"/>
  <c r="J45" i="25" l="1"/>
  <c r="J46" i="25" l="1"/>
  <c r="J47" i="25" l="1"/>
  <c r="J48" i="25" l="1"/>
  <c r="J49" i="25" l="1"/>
  <c r="J50" i="25" l="1"/>
  <c r="J51" i="25" l="1"/>
  <c r="J53" i="25" l="1"/>
  <c r="J52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<sst xmlns="http://schemas.openxmlformats.org/spreadsheetml/2006/main" count="348" uniqueCount="197">
  <si>
    <t>CO2 Emission Breakdown by Sector</t>
  </si>
  <si>
    <t>Historical Data</t>
  </si>
  <si>
    <t>Emission Projection</t>
  </si>
  <si>
    <t>Population</t>
  </si>
  <si>
    <t>IIP</t>
  </si>
  <si>
    <t>Forecast</t>
  </si>
  <si>
    <t>Others ratio</t>
  </si>
  <si>
    <t>Scenario</t>
  </si>
  <si>
    <t>Base</t>
  </si>
  <si>
    <t>Link to tab</t>
  </si>
  <si>
    <t>1. Power'</t>
  </si>
  <si>
    <t>2. Industry'</t>
  </si>
  <si>
    <t>3. Transport'</t>
  </si>
  <si>
    <t>g CO2</t>
  </si>
  <si>
    <t>%</t>
  </si>
  <si>
    <t>Year</t>
  </si>
  <si>
    <t>Power Emission</t>
  </si>
  <si>
    <t>Industry Emission</t>
  </si>
  <si>
    <t>Transport Emission</t>
  </si>
  <si>
    <t>Others Emission</t>
  </si>
  <si>
    <t>Total Emission</t>
  </si>
  <si>
    <t>Power %</t>
  </si>
  <si>
    <t>Transport %</t>
  </si>
  <si>
    <t>Industry %</t>
  </si>
  <si>
    <t>Others %</t>
  </si>
  <si>
    <t>Forecast Power Emission</t>
  </si>
  <si>
    <t>Forecast Industry Emission</t>
  </si>
  <si>
    <t>Forecast Transport Emission</t>
  </si>
  <si>
    <t>Forecast Others Emission</t>
  </si>
  <si>
    <t>Forecast Total Emission</t>
  </si>
  <si>
    <t>Documentation</t>
  </si>
  <si>
    <t>Data Source: Energy Market Authority</t>
  </si>
  <si>
    <t>CO2 Emissions by Sector</t>
  </si>
  <si>
    <t>Power Emission Forecast</t>
  </si>
  <si>
    <t>Electricity Consumption</t>
  </si>
  <si>
    <t>Solar System Capacity Projection</t>
  </si>
  <si>
    <t>Electricity Plant Mix %</t>
  </si>
  <si>
    <t>2030 goal (MWp)</t>
  </si>
  <si>
    <t>Yearly Growth</t>
  </si>
  <si>
    <t>MWp</t>
  </si>
  <si>
    <t>Specific Yield</t>
  </si>
  <si>
    <t>(kWh/kWp)</t>
  </si>
  <si>
    <t>CI Solar (g/ Gwh)</t>
  </si>
  <si>
    <t>GWh</t>
  </si>
  <si>
    <t>g CO2/ Gwh</t>
  </si>
  <si>
    <t>Total Electricity Consumption</t>
  </si>
  <si>
    <t>Solar Capacity</t>
  </si>
  <si>
    <t>Capacity Growth Rate</t>
  </si>
  <si>
    <t>Interpolated Solar capacity</t>
  </si>
  <si>
    <t>Historical Solar capacity</t>
  </si>
  <si>
    <t>Projected Solar capacity</t>
  </si>
  <si>
    <t>Utilisation Check</t>
  </si>
  <si>
    <t>Solar</t>
  </si>
  <si>
    <t>Non-renewable</t>
  </si>
  <si>
    <t>Solar Forecast</t>
  </si>
  <si>
    <t>Non-renewable Forecast</t>
  </si>
  <si>
    <t>Solar Energy</t>
  </si>
  <si>
    <t>Non-renewable Energy</t>
  </si>
  <si>
    <t>Emission from Power</t>
  </si>
  <si>
    <t>Carbon Intensity - Non-renewable</t>
  </si>
  <si>
    <t>Forecast Solar Emission</t>
  </si>
  <si>
    <t>Forecast Non-renewable Emission</t>
  </si>
  <si>
    <t>Forecast Emission from Power</t>
  </si>
  <si>
    <t>Data Source: Installed Capacity of Grid-Connected Solar Photovoltaic (PV) Systems</t>
  </si>
  <si>
    <t>Data Source: Specific Yield</t>
  </si>
  <si>
    <t>Data Source: Plant Mix for Generation</t>
  </si>
  <si>
    <t>Energy Market Authority</t>
  </si>
  <si>
    <t>https://solarbay.com.au/portfolio-item/understanding-how-solar-power-is-measured/</t>
  </si>
  <si>
    <t>Energy Market Anuthority</t>
  </si>
  <si>
    <t>Electricity Consumption Forecast</t>
  </si>
  <si>
    <t>Forecast Electricity Consumption</t>
  </si>
  <si>
    <t>Low</t>
  </si>
  <si>
    <t>High</t>
  </si>
  <si>
    <t>Regression Results</t>
  </si>
  <si>
    <t>Correlation</t>
  </si>
  <si>
    <t>Intercept</t>
  </si>
  <si>
    <t>Pop Coefficient</t>
  </si>
  <si>
    <t>SUMMARY OUTPUT</t>
  </si>
  <si>
    <t>Thousands</t>
  </si>
  <si>
    <t>Regression Statistics</t>
  </si>
  <si>
    <t>Forecast Population - Base</t>
  </si>
  <si>
    <t>Forecast Population - Low</t>
  </si>
  <si>
    <t>Forecast Population - High</t>
  </si>
  <si>
    <t>Forecast Electricity Consumption - Base</t>
  </si>
  <si>
    <t>Forecast Electricity Consumption - Low</t>
  </si>
  <si>
    <t>Forecast Electricity Consumption - High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</si>
  <si>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</si>
  <si>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</si>
  <si>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</si>
  <si>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</si>
  <si>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</si>
  <si>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</si>
  <si>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</si>
  <si>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</si>
  <si>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</si>
  <si>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F</t>
  </si>
  <si>
    <t>Significance F</t>
  </si>
  <si>
    <t>Regression</t>
  </si>
  <si>
    <t>Residual</t>
  </si>
  <si>
    <t>Total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</si>
  <si>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</si>
  <si>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</si>
  <si>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</si>
  <si>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</si>
  <si>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</si>
  <si>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</si>
  <si>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</si>
  <si>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RESIDUAL OUTPUT</t>
  </si>
  <si>
    <t>Observation</t>
  </si>
  <si>
    <t>Predicted Total Electricity Consumption</t>
  </si>
  <si>
    <t>Residuals</t>
  </si>
  <si>
    <t>Standard Residuals</t>
  </si>
  <si>
    <t>Data Source: United Nations</t>
  </si>
  <si>
    <t>https://population.un.org/wpp/Download/Standard/CSV/</t>
  </si>
  <si>
    <t>Industrial Emission Forecast</t>
  </si>
  <si>
    <t>Forecast IIP</t>
  </si>
  <si>
    <t>Forecast Industrial Emission</t>
  </si>
  <si>
    <t>2019 = 100</t>
  </si>
  <si>
    <t>Statistics for IIP Forecast</t>
  </si>
  <si>
    <t>Statistic</t>
  </si>
  <si>
    <t>Value</t>
  </si>
  <si>
    <t>Forecast(IIP)</t>
  </si>
  <si>
    <t>Lower Confidence Bound(IIP)</t>
  </si>
  <si>
    <t>Upper Confidence Bound(IIP)</t>
  </si>
  <si>
    <t>Forecast Industrial Emission - Base</t>
  </si>
  <si>
    <t>Forecast Industrial Emission - Low</t>
  </si>
  <si>
    <t>Forecast Industrial Emission - High</t>
  </si>
  <si>
    <t>Alpha</t>
  </si>
  <si>
    <t>Beta</t>
  </si>
  <si>
    <t>Gamma</t>
  </si>
  <si>
    <t>MASE</t>
  </si>
  <si>
    <t>SMAPE</t>
  </si>
  <si>
    <t>MAE</t>
  </si>
  <si>
    <t>RMSE</t>
  </si>
  <si>
    <t>Predicted Industry</t>
  </si>
  <si>
    <t>Data Source: Economic Development Board</t>
  </si>
  <si>
    <t>IIP: Index Of Industrial Production (2019 = 100)</t>
  </si>
  <si>
    <t>Transport Emission Forecast</t>
  </si>
  <si>
    <t>Statistics for Transport Emission Forecast</t>
  </si>
  <si>
    <t>Lower Confidence Bound(Transport Emission)</t>
  </si>
  <si>
    <t>Upper Confidence Bound(Transport Emission)</t>
  </si>
  <si>
    <t>Total Scenario</t>
  </si>
  <si>
    <t>Update the scenario settings below</t>
  </si>
  <si>
    <t>Power</t>
  </si>
  <si>
    <t>Industrial</t>
  </si>
  <si>
    <t>Transport</t>
  </si>
  <si>
    <t>Others</t>
  </si>
  <si>
    <t>Scenario 1</t>
  </si>
  <si>
    <t>Scenario 2</t>
  </si>
  <si>
    <t>Scenario 3</t>
  </si>
  <si>
    <t>Scenario 4</t>
  </si>
  <si>
    <t>Scenario 5</t>
  </si>
  <si>
    <t>Scenario 6</t>
  </si>
  <si>
    <t>Scenario 7</t>
  </si>
  <si>
    <t>Scenario 8</t>
  </si>
  <si>
    <t>Scenario 9</t>
  </si>
  <si>
    <t>Trade-off Analysis</t>
  </si>
  <si>
    <t>US$ / kWh</t>
  </si>
  <si>
    <t>Country</t>
  </si>
  <si>
    <t>Price</t>
  </si>
  <si>
    <t>Electricity Production from Solar</t>
  </si>
  <si>
    <t>Forcast Electricity Price</t>
  </si>
  <si>
    <t>Germany</t>
  </si>
  <si>
    <t>Denmark</t>
  </si>
  <si>
    <t>Belgium</t>
  </si>
  <si>
    <t>Rwanda</t>
  </si>
  <si>
    <t>Portugal</t>
  </si>
  <si>
    <t>Italy</t>
  </si>
  <si>
    <t>Japan</t>
  </si>
  <si>
    <t>United Kingdom</t>
  </si>
  <si>
    <t>Cyprus</t>
  </si>
  <si>
    <t>Spain</t>
  </si>
  <si>
    <t>Australia</t>
  </si>
  <si>
    <t>France</t>
  </si>
  <si>
    <t>Poland</t>
  </si>
  <si>
    <t>Chile</t>
  </si>
  <si>
    <t>Singapore</t>
  </si>
  <si>
    <t>South Africa</t>
  </si>
  <si>
    <t>United States</t>
  </si>
  <si>
    <t>Brazil</t>
  </si>
  <si>
    <t>China</t>
  </si>
  <si>
    <t>Turkey</t>
  </si>
  <si>
    <t>Mexico</t>
  </si>
  <si>
    <t>India</t>
  </si>
  <si>
    <t>Russia</t>
  </si>
  <si>
    <t>Nigeria</t>
  </si>
  <si>
    <t>Iran</t>
  </si>
  <si>
    <t>Data Source: Share of electricity production from solar</t>
  </si>
  <si>
    <t>Our World in Data</t>
  </si>
  <si>
    <t>Data Source: Household electricity prices worldwide in Dec 2020</t>
  </si>
  <si>
    <t>Statista</t>
  </si>
  <si>
    <t>Data Source: Data.gov.sg</t>
  </si>
  <si>
    <t>Electricity Consumption by sub-sector (Total)</t>
  </si>
  <si>
    <t>Overview of Emission Forecast Model</t>
  </si>
  <si>
    <t>Historical Emission Data</t>
  </si>
  <si>
    <t>Sensitivity Analysis</t>
  </si>
  <si>
    <t>Electricity Price vs Share of Solar Energy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</si>
</sst>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_-* #,##0.00000_-;\-* #,##0.00000_-;_-* &quot;-&quot;??_-;_-@_-"/>
    <numFmt numFmtId="167" formatCode="_-* #,##0.000_-;\-* #,##0.000_-;_-* &quot;-&quot;??_-;_-@_-"/>
  </numFmts>
  <fonts count="29" x14ac:knownFonts="1">
    <font>
      <sz val="12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b/>
      <sz val="10"/>
      <color theme="0"/>
      <name val="Arial"/>
      <family val="2"/>
      <scheme val="minor"/>
    </font>
    <font>
      <b/>
      <sz val="18"/>
      <color theme="1"/>
      <name val="Arial"/>
      <family val="2"/>
      <scheme val="minor"/>
    </font>
    <font>
      <sz val="10"/>
      <color rgb="FFFF0000"/>
      <name val="Arial"/>
      <family val="2"/>
      <scheme val="minor"/>
    </font>
    <font>
      <sz val="10"/>
      <color theme="0"/>
      <name val="Arial"/>
      <family val="2"/>
      <scheme val="minor"/>
    </font>
    <font>
      <u/>
      <sz val="12"/>
      <color theme="10"/>
      <name val="Arial"/>
      <family val="2"/>
      <scheme val="minor"/>
    </font>
    <font>
      <b/>
      <i/>
      <sz val="10"/>
      <color theme="5"/>
      <name val="Arial"/>
      <family val="2"/>
      <scheme val="minor"/>
    </font>
    <font>
      <i/>
      <sz val="12"/>
      <color theme="1"/>
      <name val="Arial"/>
      <family val="2"/>
      <scheme val="minor"/>
    </font>
    <font>
      <sz val="11"/>
      <color theme="1"/>
      <name val="Calibri"/>
      <family val="2"/>
    </font>
    <font>
      <i/>
      <sz val="10"/>
      <color theme="1"/>
      <name val="Arial"/>
      <family val="2"/>
      <scheme val="minor"/>
    </font>
    <font>
      <sz val="10"/>
      <color theme="0" tint="-0.499984740745262"/>
      <name val="Arial"/>
      <family val="2"/>
      <scheme val="minor"/>
    </font>
    <font>
      <b/>
      <sz val="12"/>
      <color theme="0"/>
      <name val="Arial"/>
      <family val="2"/>
      <scheme val="minor"/>
    </font>
    <font>
      <sz val="12"/>
      <color theme="0"/>
      <name val="Arial"/>
      <family val="2"/>
      <scheme val="minor"/>
    </font>
    <font>
      <sz val="10"/>
      <color theme="1" tint="0.499984740745262"/>
      <name val="Arial"/>
      <family val="2"/>
      <scheme val="minor"/>
    </font>
    <font>
      <sz val="12"/>
      <color theme="4"/>
      <name val="Arial"/>
      <family val="2"/>
      <scheme val="minor"/>
    </font>
    <font>
      <sz val="10"/>
      <color theme="0" tint="-0.14999847407452621"/>
      <name val="Arial"/>
      <family val="2"/>
      <scheme val="minor"/>
    </font>
    <font>
      <sz val="10"/>
      <color theme="0" tint="-0.249977111117893"/>
      <name val="Arial"/>
      <family val="2"/>
      <scheme val="minor"/>
    </font>
    <font>
      <sz val="10"/>
      <name val="Arial"/>
      <family val="2"/>
      <scheme val="minor"/>
    </font>
    <font>
      <b/>
      <sz val="18"/>
      <color theme="4" tint="-0.249977111117893"/>
      <name val="Arial"/>
      <family val="2"/>
      <scheme val="minor"/>
    </font>
    <font>
      <i/>
      <sz val="10"/>
      <color rgb="FF0000FF"/>
      <name val="Arial"/>
      <family val="2"/>
      <scheme val="minor"/>
    </font>
    <font>
      <sz val="10"/>
      <color rgb="FF000000"/>
      <name val="Arial"/>
      <family val="2"/>
      <scheme val="minor"/>
    </font>
    <font>
      <b/>
      <sz val="12"/>
      <color rgb="FF000000"/>
      <name val="Arial"/>
      <family val="2"/>
    </font>
    <font>
      <sz val="10"/>
      <color theme="0" tint="-4.9989318521683403E-2"/>
      <name val="Arial"/>
      <family val="2"/>
      <scheme val="minor"/>
    </font>
    <font>
      <u/>
      <sz val="12"/>
      <color theme="0" tint="-4.9989318521683403E-2"/>
      <name val="Arial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CC"/>
        <bgColor rgb="FF000000"/>
      </patternFill>
    </fill>
  </fills>
  <borders count="13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rgb="FF808080"/>
      </left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</borders>
  <cellStyleXfs count="9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0" fillId="0" borderId="0" applyNumberForma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7">
    <xf numFmtId="0" fontId="0" fillId="0" borderId="0" xfId="0"/>
    <xf numFmtId="0" fontId="4" fillId="0" borderId="0" xfId="0" applyFont="1"/>
    <xf numFmtId="0" fontId="5" fillId="0" borderId="0" xfId="0" applyFont="1"/>
    <xf numFmtId="0" fontId="4" fillId="0" borderId="1" xfId="0" applyFont="1" applyBorder="1"/>
    <xf numFmtId="4" fontId="4" fillId="0" borderId="1" xfId="0" applyNumberFormat="1" applyFont="1" applyBorder="1"/>
    <xf numFmtId="164" fontId="4" fillId="0" borderId="1" xfId="0" applyNumberFormat="1" applyFont="1" applyBorder="1"/>
    <xf numFmtId="0" fontId="7" fillId="0" borderId="0" xfId="0" applyFont="1"/>
    <xf numFmtId="164" fontId="4" fillId="0" borderId="1" xfId="1" applyNumberFormat="1" applyFont="1" applyBorder="1"/>
    <xf numFmtId="0" fontId="8" fillId="0" borderId="0" xfId="0" applyFont="1"/>
    <xf numFmtId="0" fontId="9" fillId="3" borderId="0" xfId="0" applyFont="1" applyFill="1"/>
    <xf numFmtId="9" fontId="4" fillId="0" borderId="1" xfId="2" applyFont="1" applyBorder="1"/>
    <xf numFmtId="164" fontId="4" fillId="4" borderId="1" xfId="1" applyNumberFormat="1" applyFont="1" applyFill="1" applyBorder="1"/>
    <xf numFmtId="0" fontId="10" fillId="0" borderId="0" xfId="5"/>
    <xf numFmtId="0" fontId="10" fillId="0" borderId="0" xfId="5" quotePrefix="1"/>
    <xf numFmtId="164" fontId="4" fillId="0" borderId="1" xfId="1" applyNumberFormat="1" applyFont="1" applyFill="1" applyBorder="1"/>
    <xf numFmtId="0" fontId="11" fillId="0" borderId="0" xfId="0" applyFont="1"/>
    <xf numFmtId="0" fontId="0" fillId="0" borderId="2" xfId="0" applyBorder="1"/>
    <xf numFmtId="0" fontId="12" fillId="0" borderId="3" xfId="0" applyFont="1" applyBorder="1" applyAlignment="1">
      <alignment horizontal="center"/>
    </xf>
    <xf numFmtId="0" fontId="12" fillId="0" borderId="3" xfId="0" applyFont="1" applyBorder="1" applyAlignment="1">
      <alignment horizontal="centerContinuous"/>
    </xf>
    <xf numFmtId="10" fontId="4" fillId="0" borderId="0" xfId="2" applyNumberFormat="1" applyFont="1" applyFill="1"/>
    <xf numFmtId="0" fontId="12" fillId="0" borderId="0" xfId="0" applyFont="1" applyAlignment="1">
      <alignment horizontal="center"/>
    </xf>
    <xf numFmtId="0" fontId="4" fillId="0" borderId="0" xfId="2" applyNumberFormat="1" applyFont="1" applyFill="1"/>
    <xf numFmtId="0" fontId="4" fillId="5" borderId="1" xfId="0" applyFont="1" applyFill="1" applyBorder="1"/>
    <xf numFmtId="164" fontId="4" fillId="5" borderId="1" xfId="1" applyNumberFormat="1" applyFont="1" applyFill="1" applyBorder="1"/>
    <xf numFmtId="0" fontId="4" fillId="6" borderId="4" xfId="0" applyFont="1" applyFill="1" applyBorder="1" applyAlignment="1">
      <alignment vertical="center"/>
    </xf>
    <xf numFmtId="9" fontId="4" fillId="0" borderId="4" xfId="2" applyFont="1" applyBorder="1" applyAlignment="1">
      <alignment vertical="center"/>
    </xf>
    <xf numFmtId="0" fontId="4" fillId="6" borderId="4" xfId="0" applyFont="1" applyFill="1" applyBorder="1"/>
    <xf numFmtId="2" fontId="4" fillId="0" borderId="4" xfId="0" applyNumberFormat="1" applyFont="1" applyBorder="1"/>
    <xf numFmtId="0" fontId="13" fillId="0" borderId="0" xfId="0" applyFont="1"/>
    <xf numFmtId="0" fontId="14" fillId="0" borderId="0" xfId="0" applyFont="1"/>
    <xf numFmtId="164" fontId="15" fillId="0" borderId="1" xfId="1" applyNumberFormat="1" applyFont="1" applyFill="1" applyBorder="1"/>
    <xf numFmtId="164" fontId="4" fillId="5" borderId="1" xfId="1" applyNumberFormat="1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9" fillId="8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9" fillId="9" borderId="5" xfId="0" applyFont="1" applyFill="1" applyBorder="1" applyAlignment="1">
      <alignment horizontal="center" vertical="center" wrapText="1"/>
    </xf>
    <xf numFmtId="43" fontId="4" fillId="0" borderId="1" xfId="0" applyNumberFormat="1" applyFont="1" applyBorder="1"/>
    <xf numFmtId="164" fontId="15" fillId="0" borderId="1" xfId="1" applyNumberFormat="1" applyFont="1" applyBorder="1"/>
    <xf numFmtId="0" fontId="17" fillId="0" borderId="0" xfId="0" applyFont="1"/>
    <xf numFmtId="0" fontId="9" fillId="0" borderId="0" xfId="0" applyFont="1"/>
    <xf numFmtId="0" fontId="4" fillId="0" borderId="6" xfId="0" applyFont="1" applyBorder="1"/>
    <xf numFmtId="164" fontId="15" fillId="0" borderId="6" xfId="0" applyNumberFormat="1" applyFont="1" applyBorder="1"/>
    <xf numFmtId="164" fontId="4" fillId="2" borderId="6" xfId="0" applyNumberFormat="1" applyFont="1" applyFill="1" applyBorder="1"/>
    <xf numFmtId="0" fontId="16" fillId="10" borderId="0" xfId="0" applyFont="1" applyFill="1"/>
    <xf numFmtId="0" fontId="17" fillId="10" borderId="0" xfId="0" applyFont="1" applyFill="1"/>
    <xf numFmtId="0" fontId="9" fillId="10" borderId="0" xfId="0" applyFont="1" applyFill="1"/>
    <xf numFmtId="0" fontId="9" fillId="3" borderId="0" xfId="0" applyFont="1" applyFill="1" applyAlignment="1">
      <alignment horizontal="center" vertical="center" wrapText="1"/>
    </xf>
    <xf numFmtId="10" fontId="4" fillId="0" borderId="1" xfId="2" applyNumberFormat="1" applyFont="1" applyBorder="1"/>
    <xf numFmtId="164" fontId="4" fillId="5" borderId="1" xfId="6" applyNumberFormat="1" applyFont="1" applyFill="1" applyBorder="1" applyAlignment="1">
      <alignment horizontal="center"/>
    </xf>
    <xf numFmtId="0" fontId="18" fillId="0" borderId="0" xfId="0" applyFont="1"/>
    <xf numFmtId="43" fontId="4" fillId="0" borderId="6" xfId="1" applyFont="1" applyBorder="1"/>
    <xf numFmtId="9" fontId="4" fillId="0" borderId="6" xfId="2" applyFont="1" applyBorder="1"/>
    <xf numFmtId="164" fontId="4" fillId="0" borderId="6" xfId="0" applyNumberFormat="1" applyFont="1" applyBorder="1"/>
    <xf numFmtId="43" fontId="4" fillId="2" borderId="6" xfId="1" applyFont="1" applyFill="1" applyBorder="1"/>
    <xf numFmtId="0" fontId="16" fillId="10" borderId="0" xfId="0" applyFont="1" applyFill="1" applyAlignment="1">
      <alignment horizontal="left"/>
    </xf>
    <xf numFmtId="164" fontId="4" fillId="0" borderId="7" xfId="1" applyNumberFormat="1" applyFont="1" applyBorder="1"/>
    <xf numFmtId="165" fontId="4" fillId="0" borderId="7" xfId="2" applyNumberFormat="1" applyFont="1" applyBorder="1"/>
    <xf numFmtId="164" fontId="4" fillId="0" borderId="6" xfId="1" applyNumberFormat="1" applyFont="1" applyBorder="1"/>
    <xf numFmtId="0" fontId="9" fillId="9" borderId="0" xfId="0" applyFont="1" applyFill="1" applyAlignment="1">
      <alignment horizontal="center" vertical="center" wrapText="1"/>
    </xf>
    <xf numFmtId="10" fontId="4" fillId="0" borderId="7" xfId="2" applyNumberFormat="1" applyFont="1" applyBorder="1"/>
    <xf numFmtId="164" fontId="4" fillId="2" borderId="7" xfId="1" applyNumberFormat="1" applyFont="1" applyFill="1" applyBorder="1"/>
    <xf numFmtId="0" fontId="4" fillId="0" borderId="8" xfId="0" applyFont="1" applyBorder="1"/>
    <xf numFmtId="164" fontId="4" fillId="5" borderId="5" xfId="1" applyNumberFormat="1" applyFont="1" applyFill="1" applyBorder="1" applyAlignment="1">
      <alignment horizontal="center"/>
    </xf>
    <xf numFmtId="0" fontId="19" fillId="10" borderId="0" xfId="0" applyFont="1" applyFill="1"/>
    <xf numFmtId="164" fontId="4" fillId="2" borderId="8" xfId="0" applyNumberFormat="1" applyFont="1" applyFill="1" applyBorder="1"/>
    <xf numFmtId="164" fontId="4" fillId="2" borderId="6" xfId="1" applyNumberFormat="1" applyFont="1" applyFill="1" applyBorder="1"/>
    <xf numFmtId="164" fontId="4" fillId="11" borderId="1" xfId="1" applyNumberFormat="1" applyFont="1" applyFill="1" applyBorder="1"/>
    <xf numFmtId="0" fontId="0" fillId="0" borderId="1" xfId="0" applyBorder="1"/>
    <xf numFmtId="0" fontId="20" fillId="0" borderId="0" xfId="0" applyFont="1"/>
    <xf numFmtId="0" fontId="4" fillId="0" borderId="8" xfId="0" applyFont="1" applyBorder="1" applyAlignment="1">
      <alignment horizontal="center"/>
    </xf>
    <xf numFmtId="165" fontId="4" fillId="0" borderId="1" xfId="2" applyNumberFormat="1" applyFont="1" applyBorder="1"/>
    <xf numFmtId="0" fontId="4" fillId="0" borderId="7" xfId="0" applyFont="1" applyBorder="1"/>
    <xf numFmtId="0" fontId="9" fillId="3" borderId="0" xfId="0" applyFont="1" applyFill="1" applyAlignment="1">
      <alignment wrapText="1"/>
    </xf>
    <xf numFmtId="164" fontId="4" fillId="5" borderId="7" xfId="1" applyNumberFormat="1" applyFont="1" applyFill="1" applyBorder="1" applyAlignment="1">
      <alignment horizontal="center"/>
    </xf>
    <xf numFmtId="164" fontId="4" fillId="0" borderId="8" xfId="0" applyNumberFormat="1" applyFont="1" applyBorder="1"/>
    <xf numFmtId="164" fontId="4" fillId="5" borderId="6" xfId="1" applyNumberFormat="1" applyFont="1" applyFill="1" applyBorder="1" applyAlignment="1">
      <alignment horizontal="center"/>
    </xf>
    <xf numFmtId="0" fontId="21" fillId="0" borderId="0" xfId="0" applyFont="1"/>
    <xf numFmtId="0" fontId="22" fillId="0" borderId="1" xfId="0" applyFont="1" applyBorder="1"/>
    <xf numFmtId="0" fontId="23" fillId="0" borderId="0" xfId="0" applyFont="1"/>
    <xf numFmtId="0" fontId="24" fillId="0" borderId="0" xfId="0" applyFont="1" applyAlignment="1">
      <alignment vertical="center"/>
    </xf>
    <xf numFmtId="0" fontId="9" fillId="7" borderId="0" xfId="0" applyFont="1" applyFill="1" applyAlignment="1">
      <alignment wrapText="1"/>
    </xf>
    <xf numFmtId="166" fontId="4" fillId="0" borderId="0" xfId="6" applyNumberFormat="1" applyFont="1" applyBorder="1"/>
    <xf numFmtId="2" fontId="4" fillId="0" borderId="0" xfId="6" applyNumberFormat="1" applyFont="1" applyBorder="1" applyAlignment="1">
      <alignment horizontal="center"/>
    </xf>
    <xf numFmtId="164" fontId="25" fillId="12" borderId="10" xfId="0" applyNumberFormat="1" applyFont="1" applyFill="1" applyBorder="1" applyAlignment="1">
      <alignment horizontal="center"/>
    </xf>
    <xf numFmtId="167" fontId="4" fillId="2" borderId="1" xfId="6" applyNumberFormat="1" applyFont="1" applyFill="1" applyBorder="1" applyAlignment="1">
      <alignment horizontal="center"/>
    </xf>
    <xf numFmtId="10" fontId="4" fillId="0" borderId="1" xfId="6" applyNumberFormat="1" applyFont="1" applyBorder="1" applyAlignment="1">
      <alignment horizontal="center"/>
    </xf>
    <xf numFmtId="10" fontId="4" fillId="0" borderId="1" xfId="8" applyNumberFormat="1" applyFont="1" applyBorder="1" applyAlignment="1">
      <alignment horizontal="center"/>
    </xf>
    <xf numFmtId="39" fontId="4" fillId="0" borderId="7" xfId="0" applyNumberFormat="1" applyFont="1" applyBorder="1" applyAlignment="1">
      <alignment horizontal="center"/>
    </xf>
    <xf numFmtId="39" fontId="4" fillId="0" borderId="7" xfId="6" applyNumberFormat="1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164" fontId="25" fillId="12" borderId="11" xfId="0" applyNumberFormat="1" applyFont="1" applyFill="1" applyBorder="1" applyAlignment="1">
      <alignment horizontal="center"/>
    </xf>
    <xf numFmtId="43" fontId="15" fillId="0" borderId="6" xfId="0" applyNumberFormat="1" applyFont="1" applyBorder="1"/>
    <xf numFmtId="43" fontId="22" fillId="0" borderId="6" xfId="1" applyFont="1" applyBorder="1"/>
    <xf numFmtId="1" fontId="4" fillId="0" borderId="8" xfId="0" applyNumberFormat="1" applyFont="1" applyBorder="1"/>
    <xf numFmtId="9" fontId="15" fillId="0" borderId="0" xfId="2" applyFont="1"/>
    <xf numFmtId="164" fontId="4" fillId="0" borderId="0" xfId="0" applyNumberFormat="1" applyFont="1"/>
    <xf numFmtId="9" fontId="4" fillId="0" borderId="4" xfId="0" applyNumberFormat="1" applyFont="1" applyBorder="1"/>
    <xf numFmtId="9" fontId="21" fillId="0" borderId="0" xfId="2" applyFont="1"/>
    <xf numFmtId="164" fontId="15" fillId="0" borderId="8" xfId="0" applyNumberFormat="1" applyFont="1" applyBorder="1"/>
    <xf numFmtId="0" fontId="27" fillId="0" borderId="0" xfId="0" applyFont="1"/>
    <xf numFmtId="0" fontId="28" fillId="0" borderId="0" xfId="5" quotePrefix="1" applyFont="1"/>
    <xf numFmtId="0" fontId="6" fillId="7" borderId="6" xfId="0" applyFont="1" applyFill="1" applyBorder="1" applyAlignment="1">
      <alignment horizontal="center" wrapText="1"/>
    </xf>
    <xf numFmtId="0" fontId="6" fillId="7" borderId="1" xfId="0" applyFont="1" applyFill="1" applyBorder="1" applyAlignment="1">
      <alignment horizontal="center"/>
    </xf>
    <xf numFmtId="0" fontId="9" fillId="7" borderId="1" xfId="0" applyFont="1" applyFill="1" applyBorder="1" applyAlignment="1">
      <alignment horizontal="center" vertical="center" wrapText="1"/>
    </xf>
    <xf numFmtId="0" fontId="9" fillId="7" borderId="5" xfId="0" applyFont="1" applyFill="1" applyBorder="1" applyAlignment="1">
      <alignment horizontal="center" vertical="center" wrapText="1"/>
    </xf>
    <xf numFmtId="0" fontId="9" fillId="7" borderId="9" xfId="0" applyFont="1" applyFill="1" applyBorder="1" applyAlignment="1">
      <alignment horizontal="center" vertical="center" wrapText="1"/>
    </xf>
    <xf numFmtId="0" fontId="9" fillId="7" borderId="6" xfId="0" applyFont="1" applyFill="1" applyBorder="1" applyAlignment="1">
      <alignment horizontal="center" vertical="center" wrapText="1"/>
    </xf>
    <xf numFmtId="0" fontId="9" fillId="7" borderId="0" xfId="0" applyFont="1" applyFill="1" applyAlignment="1">
      <alignment horizontal="center" vertical="center" wrapText="1"/>
    </xf>
    <xf numFmtId="0" fontId="4" fillId="4" borderId="1" xfId="0" applyFont="1" applyFill="1" applyBorder="1"/>
    <xf numFmtId="0" fontId="4" fillId="11" borderId="1" xfId="0" applyFont="1" applyFill="1" applyBorder="1" applyAlignment="1">
      <alignment horizontal="center" vertical="center"/>
    </xf>
    <xf numFmtId="9" fontId="4" fillId="11" borderId="1" xfId="2" applyFont="1" applyFill="1" applyBorder="1" applyAlignment="1">
      <alignment horizontal="center"/>
    </xf>
    <xf numFmtId="0" fontId="4" fillId="0" borderId="12" xfId="0" applyFont="1" applyFill="1" applyBorder="1" applyAlignment="1">
      <alignment horizontal="center"/>
    </xf>
  </cellXfs>
  <cellStyles count="9">
    <cellStyle name="Comma" xfId="1" builtinId="3"/>
    <cellStyle name="Comma 2" xfId="4" xr:uid="{3B65823D-FE00-40F2-9E34-9A268EFA37FF}"/>
    <cellStyle name="Comma 3" xfId="6" xr:uid="{06F1F732-BFAA-4998-BE66-39A0EC1F7965}"/>
    <cellStyle name="Hyperlink" xfId="5" builtinId="8"/>
    <cellStyle name="Normal" xfId="0" builtinId="0"/>
    <cellStyle name="Per cent 2" xfId="8" xr:uid="{3AFECFB6-9117-CF49-BE26-2567416F3044}"/>
    <cellStyle name="Percent" xfId="2" builtinId="5"/>
    <cellStyle name="Percent 2" xfId="3" xr:uid="{BAEC6FC0-F69E-4560-8447-2ADB220A1045}"/>
    <cellStyle name="Percent 3" xfId="7" xr:uid="{A527289C-F849-42B7-8448-8AB0E34AFAD0}"/>
  </cellStyles>
  <dxfs count="26"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</dxfs>
  <tableStyles count="0" defaultTableStyle="TableStyleMedium2" defaultPivotStyle="PivotStyleLight16"/>
  <colors>
    <mruColors>
      <color rgb="FFFFFF99"/>
      <color rgb="FF0000FF"/>
      <color rgb="FFFFFFCC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 sz="1200"/>
              <a:t>CO2 Emission by</a:t>
            </a:r>
            <a:r>
              <a:rPr lang="en-SG" sz="1200" baseline="0"/>
              <a:t> Sector</a:t>
            </a:r>
            <a:endParaRPr lang="en-SG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Main!$C$7</c:f>
              <c:strCache>
                <c:ptCount val="1"/>
                <c:pt idx="0">
                  <c:v>Power Emission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Main!$B$8:$B$57</c:f>
              <c:numCache>
                <c:formatCode>General</c:formatCode>
                <c:ptCount val="50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</c:numCache>
            </c:numRef>
          </c:cat>
          <c:val>
            <c:numRef>
              <c:f>Main!$C$8:$C$57</c:f>
              <c:numCache>
                <c:formatCode>_-* #,##0_-;\-* #,##0_-;_-* "-"??_-;_-@_-</c:formatCode>
                <c:ptCount val="50"/>
                <c:pt idx="0">
                  <c:v>2233519</c:v>
                </c:pt>
                <c:pt idx="1">
                  <c:v>2233511</c:v>
                </c:pt>
                <c:pt idx="2">
                  <c:v>2705292</c:v>
                </c:pt>
                <c:pt idx="3">
                  <c:v>3240166</c:v>
                </c:pt>
                <c:pt idx="4">
                  <c:v>3254996</c:v>
                </c:pt>
                <c:pt idx="5">
                  <c:v>3416398</c:v>
                </c:pt>
                <c:pt idx="6">
                  <c:v>3718491</c:v>
                </c:pt>
                <c:pt idx="7">
                  <c:v>4040315</c:v>
                </c:pt>
                <c:pt idx="8">
                  <c:v>4629863</c:v>
                </c:pt>
                <c:pt idx="9">
                  <c:v>4832172</c:v>
                </c:pt>
                <c:pt idx="10">
                  <c:v>5069926</c:v>
                </c:pt>
                <c:pt idx="11">
                  <c:v>5397759</c:v>
                </c:pt>
                <c:pt idx="12">
                  <c:v>5829651</c:v>
                </c:pt>
                <c:pt idx="13">
                  <c:v>6429741</c:v>
                </c:pt>
                <c:pt idx="14">
                  <c:v>6800411</c:v>
                </c:pt>
                <c:pt idx="15">
                  <c:v>7076085</c:v>
                </c:pt>
                <c:pt idx="16">
                  <c:v>7575080</c:v>
                </c:pt>
                <c:pt idx="17">
                  <c:v>8178821</c:v>
                </c:pt>
                <c:pt idx="18">
                  <c:v>9726167</c:v>
                </c:pt>
                <c:pt idx="19">
                  <c:v>10108904</c:v>
                </c:pt>
                <c:pt idx="20">
                  <c:v>14422728</c:v>
                </c:pt>
                <c:pt idx="21">
                  <c:v>14075063</c:v>
                </c:pt>
                <c:pt idx="22">
                  <c:v>15411473</c:v>
                </c:pt>
                <c:pt idx="23">
                  <c:v>19614749</c:v>
                </c:pt>
                <c:pt idx="24">
                  <c:v>20527460</c:v>
                </c:pt>
                <c:pt idx="25">
                  <c:v>20967940</c:v>
                </c:pt>
                <c:pt idx="26">
                  <c:v>21645238</c:v>
                </c:pt>
                <c:pt idx="27">
                  <c:v>21163131</c:v>
                </c:pt>
                <c:pt idx="28">
                  <c:v>20957964</c:v>
                </c:pt>
                <c:pt idx="29">
                  <c:v>22525792</c:v>
                </c:pt>
                <c:pt idx="30">
                  <c:v>24362800</c:v>
                </c:pt>
                <c:pt idx="31">
                  <c:v>24194580</c:v>
                </c:pt>
                <c:pt idx="32">
                  <c:v>23217404</c:v>
                </c:pt>
                <c:pt idx="33">
                  <c:v>20940622</c:v>
                </c:pt>
                <c:pt idx="34">
                  <c:v>20556977</c:v>
                </c:pt>
                <c:pt idx="35">
                  <c:v>19691361</c:v>
                </c:pt>
                <c:pt idx="36">
                  <c:v>19872131</c:v>
                </c:pt>
                <c:pt idx="37">
                  <c:v>20324023</c:v>
                </c:pt>
                <c:pt idx="38">
                  <c:v>19886009</c:v>
                </c:pt>
                <c:pt idx="39">
                  <c:v>19679416</c:v>
                </c:pt>
                <c:pt idx="40">
                  <c:v>22009572</c:v>
                </c:pt>
                <c:pt idx="41">
                  <c:v>22447510</c:v>
                </c:pt>
                <c:pt idx="42">
                  <c:v>22007099</c:v>
                </c:pt>
                <c:pt idx="43">
                  <c:v>21851501</c:v>
                </c:pt>
                <c:pt idx="44">
                  <c:v>21772693</c:v>
                </c:pt>
                <c:pt idx="45">
                  <c:v>21937171</c:v>
                </c:pt>
                <c:pt idx="46">
                  <c:v>22450593</c:v>
                </c:pt>
                <c:pt idx="47">
                  <c:v>22850066</c:v>
                </c:pt>
                <c:pt idx="48">
                  <c:v>22316140</c:v>
                </c:pt>
                <c:pt idx="49">
                  <c:v>23239007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23-4B74-871C-AE8882759AB3}"/>
            </c:ext>
          </c:extLst>
        </c:ser>
        <c:ser>
          <c:idx val="2"/>
          <c:order val="1"/>
          <c:tx>
            <c:strRef>
              <c:f>Main!$E$7</c:f>
              <c:strCache>
                <c:ptCount val="1"/>
                <c:pt idx="0">
                  <c:v>Transport Emission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Main!$B$8:$B$57</c:f>
              <c:numCache>
                <c:formatCode>General</c:formatCode>
                <c:ptCount val="50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</c:numCache>
            </c:numRef>
          </c:cat>
          <c:val>
            <c:numRef>
              <c:f>Main!$E$8:$E$57</c:f>
              <c:numCache>
                <c:formatCode>_-* #,##0_-;\-* #,##0_-;_-* "-"??_-;_-@_-</c:formatCode>
                <c:ptCount val="50"/>
                <c:pt idx="0">
                  <c:v>1527564</c:v>
                </c:pt>
                <c:pt idx="1">
                  <c:v>1527563</c:v>
                </c:pt>
                <c:pt idx="2">
                  <c:v>1612457</c:v>
                </c:pt>
                <c:pt idx="3">
                  <c:v>1787371</c:v>
                </c:pt>
                <c:pt idx="4">
                  <c:v>1738721</c:v>
                </c:pt>
                <c:pt idx="5">
                  <c:v>1860826</c:v>
                </c:pt>
                <c:pt idx="6">
                  <c:v>2042594</c:v>
                </c:pt>
                <c:pt idx="7">
                  <c:v>2446545</c:v>
                </c:pt>
                <c:pt idx="8">
                  <c:v>2593383</c:v>
                </c:pt>
                <c:pt idx="9">
                  <c:v>2957132</c:v>
                </c:pt>
                <c:pt idx="10">
                  <c:v>2857830</c:v>
                </c:pt>
                <c:pt idx="11">
                  <c:v>3047641</c:v>
                </c:pt>
                <c:pt idx="12">
                  <c:v>3270503</c:v>
                </c:pt>
                <c:pt idx="13">
                  <c:v>3403498</c:v>
                </c:pt>
                <c:pt idx="14">
                  <c:v>3644719</c:v>
                </c:pt>
                <c:pt idx="15">
                  <c:v>3407500</c:v>
                </c:pt>
                <c:pt idx="16">
                  <c:v>3473969</c:v>
                </c:pt>
                <c:pt idx="17">
                  <c:v>3580345</c:v>
                </c:pt>
                <c:pt idx="18">
                  <c:v>3497325</c:v>
                </c:pt>
                <c:pt idx="19">
                  <c:v>4072784</c:v>
                </c:pt>
                <c:pt idx="20">
                  <c:v>4066884</c:v>
                </c:pt>
                <c:pt idx="21">
                  <c:v>4930208</c:v>
                </c:pt>
                <c:pt idx="22">
                  <c:v>4759466</c:v>
                </c:pt>
                <c:pt idx="23">
                  <c:v>4721902</c:v>
                </c:pt>
                <c:pt idx="24">
                  <c:v>5136870</c:v>
                </c:pt>
                <c:pt idx="25">
                  <c:v>5646282</c:v>
                </c:pt>
                <c:pt idx="26">
                  <c:v>5106172</c:v>
                </c:pt>
                <c:pt idx="27">
                  <c:v>5064869</c:v>
                </c:pt>
                <c:pt idx="28">
                  <c:v>5080118</c:v>
                </c:pt>
                <c:pt idx="29">
                  <c:v>5137150</c:v>
                </c:pt>
                <c:pt idx="30">
                  <c:v>5218509</c:v>
                </c:pt>
                <c:pt idx="31">
                  <c:v>5316982</c:v>
                </c:pt>
                <c:pt idx="32">
                  <c:v>5288905</c:v>
                </c:pt>
                <c:pt idx="33">
                  <c:v>5305105</c:v>
                </c:pt>
                <c:pt idx="34">
                  <c:v>5409759</c:v>
                </c:pt>
                <c:pt idx="35">
                  <c:v>5593998</c:v>
                </c:pt>
                <c:pt idx="36">
                  <c:v>5812398</c:v>
                </c:pt>
                <c:pt idx="37">
                  <c:v>6007242</c:v>
                </c:pt>
                <c:pt idx="38">
                  <c:v>6126606</c:v>
                </c:pt>
                <c:pt idx="39">
                  <c:v>6704208</c:v>
                </c:pt>
                <c:pt idx="40">
                  <c:v>7033252</c:v>
                </c:pt>
                <c:pt idx="41">
                  <c:v>7551397</c:v>
                </c:pt>
                <c:pt idx="42">
                  <c:v>7356646</c:v>
                </c:pt>
                <c:pt idx="43">
                  <c:v>7111315</c:v>
                </c:pt>
                <c:pt idx="44">
                  <c:v>6879395</c:v>
                </c:pt>
                <c:pt idx="45">
                  <c:v>6640187</c:v>
                </c:pt>
                <c:pt idx="46">
                  <c:v>6622245</c:v>
                </c:pt>
                <c:pt idx="47">
                  <c:v>6894975</c:v>
                </c:pt>
                <c:pt idx="48">
                  <c:v>6971313</c:v>
                </c:pt>
                <c:pt idx="49">
                  <c:v>6798679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23-4B74-871C-AE8882759AB3}"/>
            </c:ext>
          </c:extLst>
        </c:ser>
        <c:ser>
          <c:idx val="3"/>
          <c:order val="2"/>
          <c:tx>
            <c:strRef>
              <c:f>Main!$D$7</c:f>
              <c:strCache>
                <c:ptCount val="1"/>
                <c:pt idx="0">
                  <c:v>Industry Emission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Main!$B$8:$B$57</c:f>
              <c:numCache>
                <c:formatCode>General</c:formatCode>
                <c:ptCount val="50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</c:numCache>
            </c:numRef>
          </c:cat>
          <c:val>
            <c:numRef>
              <c:f>Main!$D$8:$D$57</c:f>
              <c:numCache>
                <c:formatCode>_-* #,##0_-;\-* #,##0_-;_-* "-"??_-;_-@_-</c:formatCode>
                <c:ptCount val="50"/>
                <c:pt idx="0">
                  <c:v>2521754</c:v>
                </c:pt>
                <c:pt idx="1">
                  <c:v>2546043</c:v>
                </c:pt>
                <c:pt idx="2">
                  <c:v>3358757</c:v>
                </c:pt>
                <c:pt idx="3">
                  <c:v>3547397</c:v>
                </c:pt>
                <c:pt idx="4">
                  <c:v>3978959</c:v>
                </c:pt>
                <c:pt idx="5">
                  <c:v>3776159</c:v>
                </c:pt>
                <c:pt idx="6">
                  <c:v>4105890</c:v>
                </c:pt>
                <c:pt idx="7">
                  <c:v>4466733</c:v>
                </c:pt>
                <c:pt idx="8">
                  <c:v>5307170</c:v>
                </c:pt>
                <c:pt idx="9">
                  <c:v>5659673</c:v>
                </c:pt>
                <c:pt idx="10">
                  <c:v>5569624</c:v>
                </c:pt>
                <c:pt idx="11">
                  <c:v>6210641</c:v>
                </c:pt>
                <c:pt idx="12">
                  <c:v>6208753</c:v>
                </c:pt>
                <c:pt idx="13">
                  <c:v>6801481</c:v>
                </c:pt>
                <c:pt idx="14">
                  <c:v>6414045</c:v>
                </c:pt>
                <c:pt idx="15">
                  <c:v>6966219</c:v>
                </c:pt>
                <c:pt idx="16">
                  <c:v>6831203</c:v>
                </c:pt>
                <c:pt idx="17">
                  <c:v>6409029</c:v>
                </c:pt>
                <c:pt idx="18">
                  <c:v>7537098</c:v>
                </c:pt>
                <c:pt idx="19">
                  <c:v>7840329</c:v>
                </c:pt>
                <c:pt idx="20">
                  <c:v>11769301</c:v>
                </c:pt>
                <c:pt idx="21">
                  <c:v>13049823</c:v>
                </c:pt>
                <c:pt idx="22">
                  <c:v>13251783</c:v>
                </c:pt>
                <c:pt idx="23">
                  <c:v>14284268</c:v>
                </c:pt>
                <c:pt idx="24">
                  <c:v>15055458</c:v>
                </c:pt>
                <c:pt idx="25">
                  <c:v>13928595</c:v>
                </c:pt>
                <c:pt idx="26">
                  <c:v>14902154</c:v>
                </c:pt>
                <c:pt idx="27">
                  <c:v>14984051</c:v>
                </c:pt>
                <c:pt idx="28">
                  <c:v>13880970</c:v>
                </c:pt>
                <c:pt idx="29">
                  <c:v>12770293</c:v>
                </c:pt>
                <c:pt idx="30">
                  <c:v>15028666</c:v>
                </c:pt>
                <c:pt idx="31">
                  <c:v>14970881</c:v>
                </c:pt>
                <c:pt idx="32">
                  <c:v>15522618</c:v>
                </c:pt>
                <c:pt idx="33">
                  <c:v>15322131</c:v>
                </c:pt>
                <c:pt idx="34">
                  <c:v>17601859</c:v>
                </c:pt>
                <c:pt idx="35">
                  <c:v>17140077</c:v>
                </c:pt>
                <c:pt idx="36">
                  <c:v>17811242</c:v>
                </c:pt>
                <c:pt idx="37">
                  <c:v>18426257</c:v>
                </c:pt>
                <c:pt idx="38">
                  <c:v>19023860</c:v>
                </c:pt>
                <c:pt idx="39">
                  <c:v>19832811</c:v>
                </c:pt>
                <c:pt idx="40">
                  <c:v>21316906</c:v>
                </c:pt>
                <c:pt idx="41">
                  <c:v>23073294</c:v>
                </c:pt>
                <c:pt idx="42">
                  <c:v>23134961</c:v>
                </c:pt>
                <c:pt idx="43">
                  <c:v>24013085</c:v>
                </c:pt>
                <c:pt idx="44">
                  <c:v>22981800</c:v>
                </c:pt>
                <c:pt idx="45">
                  <c:v>22147352</c:v>
                </c:pt>
                <c:pt idx="46">
                  <c:v>22244623</c:v>
                </c:pt>
                <c:pt idx="47">
                  <c:v>22885852</c:v>
                </c:pt>
                <c:pt idx="48">
                  <c:v>22741621</c:v>
                </c:pt>
                <c:pt idx="49">
                  <c:v>22682460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23-4B74-871C-AE8882759AB3}"/>
            </c:ext>
          </c:extLst>
        </c:ser>
        <c:ser>
          <c:idx val="4"/>
          <c:order val="3"/>
          <c:tx>
            <c:strRef>
              <c:f>Main!$F$7</c:f>
              <c:strCache>
                <c:ptCount val="1"/>
                <c:pt idx="0">
                  <c:v>Others Emission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Main!$B$8:$B$57</c:f>
              <c:numCache>
                <c:formatCode>General</c:formatCode>
                <c:ptCount val="50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</c:numCache>
            </c:numRef>
          </c:cat>
          <c:val>
            <c:numRef>
              <c:f>Main!$F$8:$F$57</c:f>
              <c:numCache>
                <c:formatCode>_-* #,##0_-;\-* #,##0_-;_-* "-"??_-;_-@_-</c:formatCode>
                <c:ptCount val="50"/>
                <c:pt idx="0">
                  <c:v>326510</c:v>
                </c:pt>
                <c:pt idx="1">
                  <c:v>326510</c:v>
                </c:pt>
                <c:pt idx="2">
                  <c:v>251593</c:v>
                </c:pt>
                <c:pt idx="3">
                  <c:v>258464</c:v>
                </c:pt>
                <c:pt idx="4">
                  <c:v>251582</c:v>
                </c:pt>
                <c:pt idx="5">
                  <c:v>219807</c:v>
                </c:pt>
                <c:pt idx="6">
                  <c:v>215673</c:v>
                </c:pt>
                <c:pt idx="7">
                  <c:v>226754</c:v>
                </c:pt>
                <c:pt idx="8">
                  <c:v>271944</c:v>
                </c:pt>
                <c:pt idx="9">
                  <c:v>312736</c:v>
                </c:pt>
                <c:pt idx="10">
                  <c:v>313739</c:v>
                </c:pt>
                <c:pt idx="11">
                  <c:v>296335</c:v>
                </c:pt>
                <c:pt idx="12">
                  <c:v>298018</c:v>
                </c:pt>
                <c:pt idx="13">
                  <c:v>299680</c:v>
                </c:pt>
                <c:pt idx="14">
                  <c:v>303775</c:v>
                </c:pt>
                <c:pt idx="15">
                  <c:v>1383882</c:v>
                </c:pt>
                <c:pt idx="16">
                  <c:v>1212589</c:v>
                </c:pt>
                <c:pt idx="17">
                  <c:v>1271942</c:v>
                </c:pt>
                <c:pt idx="18">
                  <c:v>1285519</c:v>
                </c:pt>
                <c:pt idx="19">
                  <c:v>1412701</c:v>
                </c:pt>
                <c:pt idx="20">
                  <c:v>1319673</c:v>
                </c:pt>
                <c:pt idx="21">
                  <c:v>1244539</c:v>
                </c:pt>
                <c:pt idx="22">
                  <c:v>729272</c:v>
                </c:pt>
                <c:pt idx="23">
                  <c:v>743275</c:v>
                </c:pt>
                <c:pt idx="24">
                  <c:v>755281</c:v>
                </c:pt>
                <c:pt idx="25">
                  <c:v>619848</c:v>
                </c:pt>
                <c:pt idx="26">
                  <c:v>649015</c:v>
                </c:pt>
                <c:pt idx="27">
                  <c:v>833133</c:v>
                </c:pt>
                <c:pt idx="28">
                  <c:v>603282</c:v>
                </c:pt>
                <c:pt idx="29">
                  <c:v>601622</c:v>
                </c:pt>
                <c:pt idx="30">
                  <c:v>613900</c:v>
                </c:pt>
                <c:pt idx="31">
                  <c:v>615872</c:v>
                </c:pt>
                <c:pt idx="32">
                  <c:v>685190</c:v>
                </c:pt>
                <c:pt idx="33">
                  <c:v>604330</c:v>
                </c:pt>
                <c:pt idx="34">
                  <c:v>609072</c:v>
                </c:pt>
                <c:pt idx="35">
                  <c:v>518262</c:v>
                </c:pt>
                <c:pt idx="36">
                  <c:v>462762</c:v>
                </c:pt>
                <c:pt idx="37">
                  <c:v>572561</c:v>
                </c:pt>
                <c:pt idx="38">
                  <c:v>595794</c:v>
                </c:pt>
                <c:pt idx="39">
                  <c:v>624341</c:v>
                </c:pt>
                <c:pt idx="40">
                  <c:v>640097</c:v>
                </c:pt>
                <c:pt idx="41">
                  <c:v>625279</c:v>
                </c:pt>
                <c:pt idx="42">
                  <c:v>627017</c:v>
                </c:pt>
                <c:pt idx="43">
                  <c:v>649843</c:v>
                </c:pt>
                <c:pt idx="44">
                  <c:v>603895</c:v>
                </c:pt>
                <c:pt idx="45">
                  <c:v>613993</c:v>
                </c:pt>
                <c:pt idx="46">
                  <c:v>620881</c:v>
                </c:pt>
                <c:pt idx="47">
                  <c:v>637120</c:v>
                </c:pt>
                <c:pt idx="48">
                  <c:v>640429</c:v>
                </c:pt>
                <c:pt idx="49">
                  <c:v>645259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C23-4B74-871C-AE8882759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7"/>
        <c:overlap val="100"/>
        <c:axId val="1057435711"/>
        <c:axId val="1057427391"/>
      </c:barChart>
      <c:catAx>
        <c:axId val="1057435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7427391"/>
        <c:crosses val="autoZero"/>
        <c:auto val="1"/>
        <c:lblAlgn val="ctr"/>
        <c:lblOffset val="100"/>
        <c:noMultiLvlLbl val="0"/>
      </c:catAx>
      <c:valAx>
        <c:axId val="1057427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74357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 sz="1200"/>
              <a:t>CO2 Emission by</a:t>
            </a:r>
            <a:r>
              <a:rPr lang="en-SG" sz="1200" baseline="0"/>
              <a:t> Sector</a:t>
            </a:r>
            <a:endParaRPr lang="en-SG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Main!$C$7</c:f>
              <c:strCache>
                <c:ptCount val="1"/>
                <c:pt idx="0">
                  <c:v>Power Emission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Main!$B$8:$B$57</c:f>
              <c:numCache>
                <c:formatCode>General</c:formatCode>
                <c:ptCount val="50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</c:numCache>
            </c:numRef>
          </c:cat>
          <c:val>
            <c:numRef>
              <c:f>Main!$C$8:$C$57</c:f>
              <c:numCache>
                <c:formatCode>_-* #,##0_-;\-* #,##0_-;_-* "-"??_-;_-@_-</c:formatCode>
                <c:ptCount val="50"/>
                <c:pt idx="0">
                  <c:v>2233519</c:v>
                </c:pt>
                <c:pt idx="1">
                  <c:v>2233511</c:v>
                </c:pt>
                <c:pt idx="2">
                  <c:v>2705292</c:v>
                </c:pt>
                <c:pt idx="3">
                  <c:v>3240166</c:v>
                </c:pt>
                <c:pt idx="4">
                  <c:v>3254996</c:v>
                </c:pt>
                <c:pt idx="5">
                  <c:v>3416398</c:v>
                </c:pt>
                <c:pt idx="6">
                  <c:v>3718491</c:v>
                </c:pt>
                <c:pt idx="7">
                  <c:v>4040315</c:v>
                </c:pt>
                <c:pt idx="8">
                  <c:v>4629863</c:v>
                </c:pt>
                <c:pt idx="9">
                  <c:v>4832172</c:v>
                </c:pt>
                <c:pt idx="10">
                  <c:v>5069926</c:v>
                </c:pt>
                <c:pt idx="11">
                  <c:v>5397759</c:v>
                </c:pt>
                <c:pt idx="12">
                  <c:v>5829651</c:v>
                </c:pt>
                <c:pt idx="13">
                  <c:v>6429741</c:v>
                </c:pt>
                <c:pt idx="14">
                  <c:v>6800411</c:v>
                </c:pt>
                <c:pt idx="15">
                  <c:v>7076085</c:v>
                </c:pt>
                <c:pt idx="16">
                  <c:v>7575080</c:v>
                </c:pt>
                <c:pt idx="17">
                  <c:v>8178821</c:v>
                </c:pt>
                <c:pt idx="18">
                  <c:v>9726167</c:v>
                </c:pt>
                <c:pt idx="19">
                  <c:v>10108904</c:v>
                </c:pt>
                <c:pt idx="20">
                  <c:v>14422728</c:v>
                </c:pt>
                <c:pt idx="21">
                  <c:v>14075063</c:v>
                </c:pt>
                <c:pt idx="22">
                  <c:v>15411473</c:v>
                </c:pt>
                <c:pt idx="23">
                  <c:v>19614749</c:v>
                </c:pt>
                <c:pt idx="24">
                  <c:v>20527460</c:v>
                </c:pt>
                <c:pt idx="25">
                  <c:v>20967940</c:v>
                </c:pt>
                <c:pt idx="26">
                  <c:v>21645238</c:v>
                </c:pt>
                <c:pt idx="27">
                  <c:v>21163131</c:v>
                </c:pt>
                <c:pt idx="28">
                  <c:v>20957964</c:v>
                </c:pt>
                <c:pt idx="29">
                  <c:v>22525792</c:v>
                </c:pt>
                <c:pt idx="30">
                  <c:v>24362800</c:v>
                </c:pt>
                <c:pt idx="31">
                  <c:v>24194580</c:v>
                </c:pt>
                <c:pt idx="32">
                  <c:v>23217404</c:v>
                </c:pt>
                <c:pt idx="33">
                  <c:v>20940622</c:v>
                </c:pt>
                <c:pt idx="34">
                  <c:v>20556977</c:v>
                </c:pt>
                <c:pt idx="35">
                  <c:v>19691361</c:v>
                </c:pt>
                <c:pt idx="36">
                  <c:v>19872131</c:v>
                </c:pt>
                <c:pt idx="37">
                  <c:v>20324023</c:v>
                </c:pt>
                <c:pt idx="38">
                  <c:v>19886009</c:v>
                </c:pt>
                <c:pt idx="39">
                  <c:v>19679416</c:v>
                </c:pt>
                <c:pt idx="40">
                  <c:v>22009572</c:v>
                </c:pt>
                <c:pt idx="41">
                  <c:v>22447510</c:v>
                </c:pt>
                <c:pt idx="42">
                  <c:v>22007099</c:v>
                </c:pt>
                <c:pt idx="43">
                  <c:v>21851501</c:v>
                </c:pt>
                <c:pt idx="44">
                  <c:v>21772693</c:v>
                </c:pt>
                <c:pt idx="45">
                  <c:v>21937171</c:v>
                </c:pt>
                <c:pt idx="46">
                  <c:v>22450593</c:v>
                </c:pt>
                <c:pt idx="47">
                  <c:v>22850066</c:v>
                </c:pt>
                <c:pt idx="48">
                  <c:v>22316140</c:v>
                </c:pt>
                <c:pt idx="49">
                  <c:v>23239007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1B-4681-9C1F-6FBBCFC87560}"/>
            </c:ext>
          </c:extLst>
        </c:ser>
        <c:ser>
          <c:idx val="2"/>
          <c:order val="1"/>
          <c:tx>
            <c:strRef>
              <c:f>Main!$E$7</c:f>
              <c:strCache>
                <c:ptCount val="1"/>
                <c:pt idx="0">
                  <c:v>Transport Emission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Main!$B$8:$B$57</c:f>
              <c:numCache>
                <c:formatCode>General</c:formatCode>
                <c:ptCount val="50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</c:numCache>
            </c:numRef>
          </c:cat>
          <c:val>
            <c:numRef>
              <c:f>Main!$E$8:$E$57</c:f>
              <c:numCache>
                <c:formatCode>_-* #,##0_-;\-* #,##0_-;_-* "-"??_-;_-@_-</c:formatCode>
                <c:ptCount val="50"/>
                <c:pt idx="0">
                  <c:v>1527564</c:v>
                </c:pt>
                <c:pt idx="1">
                  <c:v>1527563</c:v>
                </c:pt>
                <c:pt idx="2">
                  <c:v>1612457</c:v>
                </c:pt>
                <c:pt idx="3">
                  <c:v>1787371</c:v>
                </c:pt>
                <c:pt idx="4">
                  <c:v>1738721</c:v>
                </c:pt>
                <c:pt idx="5">
                  <c:v>1860826</c:v>
                </c:pt>
                <c:pt idx="6">
                  <c:v>2042594</c:v>
                </c:pt>
                <c:pt idx="7">
                  <c:v>2446545</c:v>
                </c:pt>
                <c:pt idx="8">
                  <c:v>2593383</c:v>
                </c:pt>
                <c:pt idx="9">
                  <c:v>2957132</c:v>
                </c:pt>
                <c:pt idx="10">
                  <c:v>2857830</c:v>
                </c:pt>
                <c:pt idx="11">
                  <c:v>3047641</c:v>
                </c:pt>
                <c:pt idx="12">
                  <c:v>3270503</c:v>
                </c:pt>
                <c:pt idx="13">
                  <c:v>3403498</c:v>
                </c:pt>
                <c:pt idx="14">
                  <c:v>3644719</c:v>
                </c:pt>
                <c:pt idx="15">
                  <c:v>3407500</c:v>
                </c:pt>
                <c:pt idx="16">
                  <c:v>3473969</c:v>
                </c:pt>
                <c:pt idx="17">
                  <c:v>3580345</c:v>
                </c:pt>
                <c:pt idx="18">
                  <c:v>3497325</c:v>
                </c:pt>
                <c:pt idx="19">
                  <c:v>4072784</c:v>
                </c:pt>
                <c:pt idx="20">
                  <c:v>4066884</c:v>
                </c:pt>
                <c:pt idx="21">
                  <c:v>4930208</c:v>
                </c:pt>
                <c:pt idx="22">
                  <c:v>4759466</c:v>
                </c:pt>
                <c:pt idx="23">
                  <c:v>4721902</c:v>
                </c:pt>
                <c:pt idx="24">
                  <c:v>5136870</c:v>
                </c:pt>
                <c:pt idx="25">
                  <c:v>5646282</c:v>
                </c:pt>
                <c:pt idx="26">
                  <c:v>5106172</c:v>
                </c:pt>
                <c:pt idx="27">
                  <c:v>5064869</c:v>
                </c:pt>
                <c:pt idx="28">
                  <c:v>5080118</c:v>
                </c:pt>
                <c:pt idx="29">
                  <c:v>5137150</c:v>
                </c:pt>
                <c:pt idx="30">
                  <c:v>5218509</c:v>
                </c:pt>
                <c:pt idx="31">
                  <c:v>5316982</c:v>
                </c:pt>
                <c:pt idx="32">
                  <c:v>5288905</c:v>
                </c:pt>
                <c:pt idx="33">
                  <c:v>5305105</c:v>
                </c:pt>
                <c:pt idx="34">
                  <c:v>5409759</c:v>
                </c:pt>
                <c:pt idx="35">
                  <c:v>5593998</c:v>
                </c:pt>
                <c:pt idx="36">
                  <c:v>5812398</c:v>
                </c:pt>
                <c:pt idx="37">
                  <c:v>6007242</c:v>
                </c:pt>
                <c:pt idx="38">
                  <c:v>6126606</c:v>
                </c:pt>
                <c:pt idx="39">
                  <c:v>6704208</c:v>
                </c:pt>
                <c:pt idx="40">
                  <c:v>7033252</c:v>
                </c:pt>
                <c:pt idx="41">
                  <c:v>7551397</c:v>
                </c:pt>
                <c:pt idx="42">
                  <c:v>7356646</c:v>
                </c:pt>
                <c:pt idx="43">
                  <c:v>7111315</c:v>
                </c:pt>
                <c:pt idx="44">
                  <c:v>6879395</c:v>
                </c:pt>
                <c:pt idx="45">
                  <c:v>6640187</c:v>
                </c:pt>
                <c:pt idx="46">
                  <c:v>6622245</c:v>
                </c:pt>
                <c:pt idx="47">
                  <c:v>6894975</c:v>
                </c:pt>
                <c:pt idx="48">
                  <c:v>6971313</c:v>
                </c:pt>
                <c:pt idx="49">
                  <c:v>6798679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1B-4681-9C1F-6FBBCFC87560}"/>
            </c:ext>
          </c:extLst>
        </c:ser>
        <c:ser>
          <c:idx val="3"/>
          <c:order val="2"/>
          <c:tx>
            <c:strRef>
              <c:f>Main!$D$7</c:f>
              <c:strCache>
                <c:ptCount val="1"/>
                <c:pt idx="0">
                  <c:v>Industry Emission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Main!$B$8:$B$57</c:f>
              <c:numCache>
                <c:formatCode>General</c:formatCode>
                <c:ptCount val="50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</c:numCache>
            </c:numRef>
          </c:cat>
          <c:val>
            <c:numRef>
              <c:f>Main!$D$8:$D$57</c:f>
              <c:numCache>
                <c:formatCode>_-* #,##0_-;\-* #,##0_-;_-* "-"??_-;_-@_-</c:formatCode>
                <c:ptCount val="50"/>
                <c:pt idx="0">
                  <c:v>2521754</c:v>
                </c:pt>
                <c:pt idx="1">
                  <c:v>2546043</c:v>
                </c:pt>
                <c:pt idx="2">
                  <c:v>3358757</c:v>
                </c:pt>
                <c:pt idx="3">
                  <c:v>3547397</c:v>
                </c:pt>
                <c:pt idx="4">
                  <c:v>3978959</c:v>
                </c:pt>
                <c:pt idx="5">
                  <c:v>3776159</c:v>
                </c:pt>
                <c:pt idx="6">
                  <c:v>4105890</c:v>
                </c:pt>
                <c:pt idx="7">
                  <c:v>4466733</c:v>
                </c:pt>
                <c:pt idx="8">
                  <c:v>5307170</c:v>
                </c:pt>
                <c:pt idx="9">
                  <c:v>5659673</c:v>
                </c:pt>
                <c:pt idx="10">
                  <c:v>5569624</c:v>
                </c:pt>
                <c:pt idx="11">
                  <c:v>6210641</c:v>
                </c:pt>
                <c:pt idx="12">
                  <c:v>6208753</c:v>
                </c:pt>
                <c:pt idx="13">
                  <c:v>6801481</c:v>
                </c:pt>
                <c:pt idx="14">
                  <c:v>6414045</c:v>
                </c:pt>
                <c:pt idx="15">
                  <c:v>6966219</c:v>
                </c:pt>
                <c:pt idx="16">
                  <c:v>6831203</c:v>
                </c:pt>
                <c:pt idx="17">
                  <c:v>6409029</c:v>
                </c:pt>
                <c:pt idx="18">
                  <c:v>7537098</c:v>
                </c:pt>
                <c:pt idx="19">
                  <c:v>7840329</c:v>
                </c:pt>
                <c:pt idx="20">
                  <c:v>11769301</c:v>
                </c:pt>
                <c:pt idx="21">
                  <c:v>13049823</c:v>
                </c:pt>
                <c:pt idx="22">
                  <c:v>13251783</c:v>
                </c:pt>
                <c:pt idx="23">
                  <c:v>14284268</c:v>
                </c:pt>
                <c:pt idx="24">
                  <c:v>15055458</c:v>
                </c:pt>
                <c:pt idx="25">
                  <c:v>13928595</c:v>
                </c:pt>
                <c:pt idx="26">
                  <c:v>14902154</c:v>
                </c:pt>
                <c:pt idx="27">
                  <c:v>14984051</c:v>
                </c:pt>
                <c:pt idx="28">
                  <c:v>13880970</c:v>
                </c:pt>
                <c:pt idx="29">
                  <c:v>12770293</c:v>
                </c:pt>
                <c:pt idx="30">
                  <c:v>15028666</c:v>
                </c:pt>
                <c:pt idx="31">
                  <c:v>14970881</c:v>
                </c:pt>
                <c:pt idx="32">
                  <c:v>15522618</c:v>
                </c:pt>
                <c:pt idx="33">
                  <c:v>15322131</c:v>
                </c:pt>
                <c:pt idx="34">
                  <c:v>17601859</c:v>
                </c:pt>
                <c:pt idx="35">
                  <c:v>17140077</c:v>
                </c:pt>
                <c:pt idx="36">
                  <c:v>17811242</c:v>
                </c:pt>
                <c:pt idx="37">
                  <c:v>18426257</c:v>
                </c:pt>
                <c:pt idx="38">
                  <c:v>19023860</c:v>
                </c:pt>
                <c:pt idx="39">
                  <c:v>19832811</c:v>
                </c:pt>
                <c:pt idx="40">
                  <c:v>21316906</c:v>
                </c:pt>
                <c:pt idx="41">
                  <c:v>23073294</c:v>
                </c:pt>
                <c:pt idx="42">
                  <c:v>23134961</c:v>
                </c:pt>
                <c:pt idx="43">
                  <c:v>24013085</c:v>
                </c:pt>
                <c:pt idx="44">
                  <c:v>22981800</c:v>
                </c:pt>
                <c:pt idx="45">
                  <c:v>22147352</c:v>
                </c:pt>
                <c:pt idx="46">
                  <c:v>22244623</c:v>
                </c:pt>
                <c:pt idx="47">
                  <c:v>22885852</c:v>
                </c:pt>
                <c:pt idx="48">
                  <c:v>22741621</c:v>
                </c:pt>
                <c:pt idx="49">
                  <c:v>22682460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1B-4681-9C1F-6FBBCFC87560}"/>
            </c:ext>
          </c:extLst>
        </c:ser>
        <c:ser>
          <c:idx val="4"/>
          <c:order val="3"/>
          <c:tx>
            <c:strRef>
              <c:f>Main!$F$7</c:f>
              <c:strCache>
                <c:ptCount val="1"/>
                <c:pt idx="0">
                  <c:v>Others Emission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Main!$B$8:$B$57</c:f>
              <c:numCache>
                <c:formatCode>General</c:formatCode>
                <c:ptCount val="50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</c:numCache>
            </c:numRef>
          </c:cat>
          <c:val>
            <c:numRef>
              <c:f>Main!$F$8:$F$57</c:f>
              <c:numCache>
                <c:formatCode>_-* #,##0_-;\-* #,##0_-;_-* "-"??_-;_-@_-</c:formatCode>
                <c:ptCount val="50"/>
                <c:pt idx="0">
                  <c:v>326510</c:v>
                </c:pt>
                <c:pt idx="1">
                  <c:v>326510</c:v>
                </c:pt>
                <c:pt idx="2">
                  <c:v>251593</c:v>
                </c:pt>
                <c:pt idx="3">
                  <c:v>258464</c:v>
                </c:pt>
                <c:pt idx="4">
                  <c:v>251582</c:v>
                </c:pt>
                <c:pt idx="5">
                  <c:v>219807</c:v>
                </c:pt>
                <c:pt idx="6">
                  <c:v>215673</c:v>
                </c:pt>
                <c:pt idx="7">
                  <c:v>226754</c:v>
                </c:pt>
                <c:pt idx="8">
                  <c:v>271944</c:v>
                </c:pt>
                <c:pt idx="9">
                  <c:v>312736</c:v>
                </c:pt>
                <c:pt idx="10">
                  <c:v>313739</c:v>
                </c:pt>
                <c:pt idx="11">
                  <c:v>296335</c:v>
                </c:pt>
                <c:pt idx="12">
                  <c:v>298018</c:v>
                </c:pt>
                <c:pt idx="13">
                  <c:v>299680</c:v>
                </c:pt>
                <c:pt idx="14">
                  <c:v>303775</c:v>
                </c:pt>
                <c:pt idx="15">
                  <c:v>1383882</c:v>
                </c:pt>
                <c:pt idx="16">
                  <c:v>1212589</c:v>
                </c:pt>
                <c:pt idx="17">
                  <c:v>1271942</c:v>
                </c:pt>
                <c:pt idx="18">
                  <c:v>1285519</c:v>
                </c:pt>
                <c:pt idx="19">
                  <c:v>1412701</c:v>
                </c:pt>
                <c:pt idx="20">
                  <c:v>1319673</c:v>
                </c:pt>
                <c:pt idx="21">
                  <c:v>1244539</c:v>
                </c:pt>
                <c:pt idx="22">
                  <c:v>729272</c:v>
                </c:pt>
                <c:pt idx="23">
                  <c:v>743275</c:v>
                </c:pt>
                <c:pt idx="24">
                  <c:v>755281</c:v>
                </c:pt>
                <c:pt idx="25">
                  <c:v>619848</c:v>
                </c:pt>
                <c:pt idx="26">
                  <c:v>649015</c:v>
                </c:pt>
                <c:pt idx="27">
                  <c:v>833133</c:v>
                </c:pt>
                <c:pt idx="28">
                  <c:v>603282</c:v>
                </c:pt>
                <c:pt idx="29">
                  <c:v>601622</c:v>
                </c:pt>
                <c:pt idx="30">
                  <c:v>613900</c:v>
                </c:pt>
                <c:pt idx="31">
                  <c:v>615872</c:v>
                </c:pt>
                <c:pt idx="32">
                  <c:v>685190</c:v>
                </c:pt>
                <c:pt idx="33">
                  <c:v>604330</c:v>
                </c:pt>
                <c:pt idx="34">
                  <c:v>609072</c:v>
                </c:pt>
                <c:pt idx="35">
                  <c:v>518262</c:v>
                </c:pt>
                <c:pt idx="36">
                  <c:v>462762</c:v>
                </c:pt>
                <c:pt idx="37">
                  <c:v>572561</c:v>
                </c:pt>
                <c:pt idx="38">
                  <c:v>595794</c:v>
                </c:pt>
                <c:pt idx="39">
                  <c:v>624341</c:v>
                </c:pt>
                <c:pt idx="40">
                  <c:v>640097</c:v>
                </c:pt>
                <c:pt idx="41">
                  <c:v>625279</c:v>
                </c:pt>
                <c:pt idx="42">
                  <c:v>627017</c:v>
                </c:pt>
                <c:pt idx="43">
                  <c:v>649843</c:v>
                </c:pt>
                <c:pt idx="44">
                  <c:v>603895</c:v>
                </c:pt>
                <c:pt idx="45">
                  <c:v>613993</c:v>
                </c:pt>
                <c:pt idx="46">
                  <c:v>620881</c:v>
                </c:pt>
                <c:pt idx="47">
                  <c:v>637120</c:v>
                </c:pt>
                <c:pt idx="48">
                  <c:v>640429</c:v>
                </c:pt>
                <c:pt idx="49">
                  <c:v>645259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D1B-4681-9C1F-6FBBCFC875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7435711"/>
        <c:axId val="1057427391"/>
      </c:lineChart>
      <c:catAx>
        <c:axId val="1057435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7427391"/>
        <c:crosses val="autoZero"/>
        <c:auto val="1"/>
        <c:lblAlgn val="ctr"/>
        <c:lblOffset val="100"/>
        <c:noMultiLvlLbl val="0"/>
      </c:catAx>
      <c:valAx>
        <c:axId val="1057427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74357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 sz="1200"/>
              <a:t>Historical &amp; Forecast</a:t>
            </a:r>
            <a:r>
              <a:rPr lang="en-SG" sz="1200" baseline="0"/>
              <a:t> Emission by Source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Main!$C$7</c:f>
              <c:strCache>
                <c:ptCount val="1"/>
                <c:pt idx="0">
                  <c:v>Power Emission</c:v>
                </c:pt>
              </c:strCache>
            </c:strRef>
          </c:tx>
          <c:marker>
            <c:symbol val="none"/>
          </c:marker>
          <c:cat>
            <c:numRef>
              <c:f>Main!$M$8:$M$88</c:f>
              <c:numCache>
                <c:formatCode>General</c:formatCode>
                <c:ptCount val="81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</c:numCache>
            </c:numRef>
          </c:cat>
          <c:val>
            <c:numRef>
              <c:f>Main!$C$8:$C$88</c:f>
              <c:numCache>
                <c:formatCode>_-* #,##0_-;\-* #,##0_-;_-* "-"??_-;_-@_-</c:formatCode>
                <c:ptCount val="81"/>
                <c:pt idx="0">
                  <c:v>2233519</c:v>
                </c:pt>
                <c:pt idx="1">
                  <c:v>2233511</c:v>
                </c:pt>
                <c:pt idx="2">
                  <c:v>2705292</c:v>
                </c:pt>
                <c:pt idx="3">
                  <c:v>3240166</c:v>
                </c:pt>
                <c:pt idx="4">
                  <c:v>3254996</c:v>
                </c:pt>
                <c:pt idx="5">
                  <c:v>3416398</c:v>
                </c:pt>
                <c:pt idx="6">
                  <c:v>3718491</c:v>
                </c:pt>
                <c:pt idx="7">
                  <c:v>4040315</c:v>
                </c:pt>
                <c:pt idx="8">
                  <c:v>4629863</c:v>
                </c:pt>
                <c:pt idx="9">
                  <c:v>4832172</c:v>
                </c:pt>
                <c:pt idx="10">
                  <c:v>5069926</c:v>
                </c:pt>
                <c:pt idx="11">
                  <c:v>5397759</c:v>
                </c:pt>
                <c:pt idx="12">
                  <c:v>5829651</c:v>
                </c:pt>
                <c:pt idx="13">
                  <c:v>6429741</c:v>
                </c:pt>
                <c:pt idx="14">
                  <c:v>6800411</c:v>
                </c:pt>
                <c:pt idx="15">
                  <c:v>7076085</c:v>
                </c:pt>
                <c:pt idx="16">
                  <c:v>7575080</c:v>
                </c:pt>
                <c:pt idx="17">
                  <c:v>8178821</c:v>
                </c:pt>
                <c:pt idx="18">
                  <c:v>9726167</c:v>
                </c:pt>
                <c:pt idx="19">
                  <c:v>10108904</c:v>
                </c:pt>
                <c:pt idx="20">
                  <c:v>14422728</c:v>
                </c:pt>
                <c:pt idx="21">
                  <c:v>14075063</c:v>
                </c:pt>
                <c:pt idx="22">
                  <c:v>15411473</c:v>
                </c:pt>
                <c:pt idx="23">
                  <c:v>19614749</c:v>
                </c:pt>
                <c:pt idx="24">
                  <c:v>20527460</c:v>
                </c:pt>
                <c:pt idx="25">
                  <c:v>20967940</c:v>
                </c:pt>
                <c:pt idx="26">
                  <c:v>21645238</c:v>
                </c:pt>
                <c:pt idx="27">
                  <c:v>21163131</c:v>
                </c:pt>
                <c:pt idx="28">
                  <c:v>20957964</c:v>
                </c:pt>
                <c:pt idx="29">
                  <c:v>22525792</c:v>
                </c:pt>
                <c:pt idx="30">
                  <c:v>24362800</c:v>
                </c:pt>
                <c:pt idx="31">
                  <c:v>24194580</c:v>
                </c:pt>
                <c:pt idx="32">
                  <c:v>23217404</c:v>
                </c:pt>
                <c:pt idx="33">
                  <c:v>20940622</c:v>
                </c:pt>
                <c:pt idx="34">
                  <c:v>20556977</c:v>
                </c:pt>
                <c:pt idx="35">
                  <c:v>19691361</c:v>
                </c:pt>
                <c:pt idx="36">
                  <c:v>19872131</c:v>
                </c:pt>
                <c:pt idx="37">
                  <c:v>20324023</c:v>
                </c:pt>
                <c:pt idx="38">
                  <c:v>19886009</c:v>
                </c:pt>
                <c:pt idx="39">
                  <c:v>19679416</c:v>
                </c:pt>
                <c:pt idx="40">
                  <c:v>22009572</c:v>
                </c:pt>
                <c:pt idx="41">
                  <c:v>22447510</c:v>
                </c:pt>
                <c:pt idx="42">
                  <c:v>22007099</c:v>
                </c:pt>
                <c:pt idx="43">
                  <c:v>21851501</c:v>
                </c:pt>
                <c:pt idx="44">
                  <c:v>21772693</c:v>
                </c:pt>
                <c:pt idx="45">
                  <c:v>21937171</c:v>
                </c:pt>
                <c:pt idx="46">
                  <c:v>22450593</c:v>
                </c:pt>
                <c:pt idx="47">
                  <c:v>22850066</c:v>
                </c:pt>
                <c:pt idx="48">
                  <c:v>22316140</c:v>
                </c:pt>
                <c:pt idx="49">
                  <c:v>23239007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71-4A3E-BB61-7CEB98C6F486}"/>
            </c:ext>
          </c:extLst>
        </c:ser>
        <c:ser>
          <c:idx val="3"/>
          <c:order val="1"/>
          <c:tx>
            <c:strRef>
              <c:f>Main!$N$7</c:f>
              <c:strCache>
                <c:ptCount val="1"/>
                <c:pt idx="0">
                  <c:v>Forecast Power Emission</c:v>
                </c:pt>
              </c:strCache>
            </c:strRef>
          </c:tx>
          <c:spPr>
            <a:ln>
              <a:solidFill>
                <a:srgbClr val="C00000"/>
              </a:solidFill>
              <a:prstDash val="dash"/>
            </a:ln>
          </c:spPr>
          <c:marker>
            <c:symbol val="none"/>
          </c:marker>
          <c:cat>
            <c:numRef>
              <c:f>Main!$M$8:$M$88</c:f>
              <c:numCache>
                <c:formatCode>General</c:formatCode>
                <c:ptCount val="81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</c:numCache>
            </c:numRef>
          </c:cat>
          <c:val>
            <c:numRef>
              <c:f>Main!$N$8:$N$88</c:f>
              <c:numCache>
                <c:formatCode>General</c:formatCode>
                <c:ptCount val="81"/>
                <c:pt idx="49" formatCode="_-* #,##0_-;\-* #,##0_-;_-* &quot;-&quot;??_-;_-@_-">
                  <c:v>23239007</c:v>
                </c:pt>
                <c:pt idx="50" formatCode="_-* #,##0_-;\-* #,##0_-;_-* &quot;-&quot;??_-;_-@_-">
                  <c:v>22493372.556654561</c:v>
                </c:pt>
                <c:pt idx="51" formatCode="_-* #,##0_-;\-* #,##0_-;_-* &quot;-&quot;??_-;_-@_-">
                  <c:v>22695308.540901899</c:v>
                </c:pt>
                <c:pt idx="52" formatCode="_-* #,##0_-;\-* #,##0_-;_-* &quot;-&quot;??_-;_-@_-">
                  <c:v>22885168.103592187</c:v>
                </c:pt>
                <c:pt idx="53" formatCode="_-* #,##0_-;\-* #,##0_-;_-* &quot;-&quot;??_-;_-@_-">
                  <c:v>23074084.28293553</c:v>
                </c:pt>
                <c:pt idx="54" formatCode="_-* #,##0_-;\-* #,##0_-;_-* &quot;-&quot;??_-;_-@_-">
                  <c:v>23256541.103340596</c:v>
                </c:pt>
                <c:pt idx="55" formatCode="_-* #,##0_-;\-* #,##0_-;_-* &quot;-&quot;??_-;_-@_-">
                  <c:v>23428349.033366345</c:v>
                </c:pt>
                <c:pt idx="56" formatCode="_-* #,##0_-;\-* #,##0_-;_-* &quot;-&quot;??_-;_-@_-">
                  <c:v>23589710.263506904</c:v>
                </c:pt>
                <c:pt idx="57" formatCode="_-* #,##0_-;\-* #,##0_-;_-* &quot;-&quot;??_-;_-@_-">
                  <c:v>23742349.388182212</c:v>
                </c:pt>
                <c:pt idx="58" formatCode="_-* #,##0_-;\-* #,##0_-;_-* &quot;-&quot;??_-;_-@_-">
                  <c:v>23885584.125645719</c:v>
                </c:pt>
                <c:pt idx="59" formatCode="_-* #,##0_-;\-* #,##0_-;_-* &quot;-&quot;??_-;_-@_-">
                  <c:v>24018618.831015021</c:v>
                </c:pt>
                <c:pt idx="60" formatCode="_-* #,##0_-;\-* #,##0_-;_-* &quot;-&quot;??_-;_-@_-">
                  <c:v>24140879.090726186</c:v>
                </c:pt>
                <c:pt idx="61" formatCode="_-* #,##0_-;\-* #,##0_-;_-* &quot;-&quot;??_-;_-@_-">
                  <c:v>24252041.884535201</c:v>
                </c:pt>
                <c:pt idx="62" formatCode="_-* #,##0_-;\-* #,##0_-;_-* &quot;-&quot;??_-;_-@_-">
                  <c:v>24351883.284474172</c:v>
                </c:pt>
                <c:pt idx="63" formatCode="_-* #,##0_-;\-* #,##0_-;_-* &quot;-&quot;??_-;_-@_-">
                  <c:v>24440180.283449739</c:v>
                </c:pt>
                <c:pt idx="64" formatCode="_-* #,##0_-;\-* #,##0_-;_-* &quot;-&quot;??_-;_-@_-">
                  <c:v>24516670.852316942</c:v>
                </c:pt>
                <c:pt idx="65" formatCode="_-* #,##0_-;\-* #,##0_-;_-* &quot;-&quot;??_-;_-@_-">
                  <c:v>24581204.879805926</c:v>
                </c:pt>
                <c:pt idx="66" formatCode="_-* #,##0_-;\-* #,##0_-;_-* &quot;-&quot;??_-;_-@_-">
                  <c:v>24633858.848307855</c:v>
                </c:pt>
                <c:pt idx="67" formatCode="_-* #,##0_-;\-* #,##0_-;_-* &quot;-&quot;??_-;_-@_-">
                  <c:v>24674695.800698578</c:v>
                </c:pt>
                <c:pt idx="68" formatCode="_-* #,##0_-;\-* #,##0_-;_-* &quot;-&quot;??_-;_-@_-">
                  <c:v>24703986.498282701</c:v>
                </c:pt>
                <c:pt idx="69" formatCode="_-* #,##0_-;\-* #,##0_-;_-* &quot;-&quot;??_-;_-@_-">
                  <c:v>24722226.143279705</c:v>
                </c:pt>
                <c:pt idx="70" formatCode="_-* #,##0_-;\-* #,##0_-;_-* &quot;-&quot;??_-;_-@_-">
                  <c:v>24729824.378043525</c:v>
                </c:pt>
                <c:pt idx="71" formatCode="_-* #,##0_-;\-* #,##0_-;_-* &quot;-&quot;??_-;_-@_-">
                  <c:v>24727101.2589298</c:v>
                </c:pt>
                <c:pt idx="72" formatCode="_-* #,##0_-;\-* #,##0_-;_-* &quot;-&quot;??_-;_-@_-">
                  <c:v>24714441.862891082</c:v>
                </c:pt>
                <c:pt idx="73" formatCode="_-* #,##0_-;\-* #,##0_-;_-* &quot;-&quot;??_-;_-@_-">
                  <c:v>24692502.866929237</c:v>
                </c:pt>
                <c:pt idx="74" formatCode="_-* #,##0_-;\-* #,##0_-;_-* &quot;-&quot;??_-;_-@_-">
                  <c:v>24662132.137183256</c:v>
                </c:pt>
                <c:pt idx="75" formatCode="_-* #,##0_-;\-* #,##0_-;_-* &quot;-&quot;??_-;_-@_-">
                  <c:v>24624086.645182718</c:v>
                </c:pt>
                <c:pt idx="76" formatCode="_-* #,##0_-;\-* #,##0_-;_-* &quot;-&quot;??_-;_-@_-">
                  <c:v>24578844.117399883</c:v>
                </c:pt>
                <c:pt idx="77" formatCode="_-* #,##0_-;\-* #,##0_-;_-* &quot;-&quot;??_-;_-@_-">
                  <c:v>24526810.430564631</c:v>
                </c:pt>
                <c:pt idx="78" formatCode="_-* #,##0_-;\-* #,##0_-;_-* &quot;-&quot;??_-;_-@_-">
                  <c:v>24468880.774198662</c:v>
                </c:pt>
                <c:pt idx="79" formatCode="_-* #,##0_-;\-* #,##0_-;_-* &quot;-&quot;??_-;_-@_-">
                  <c:v>24405526.864856407</c:v>
                </c:pt>
                <c:pt idx="80" formatCode="_-* #,##0_-;\-* #,##0_-;_-* &quot;-&quot;??_-;_-@_-">
                  <c:v>24337511.762068614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71-4A3E-BB61-7CEB98C6F486}"/>
            </c:ext>
          </c:extLst>
        </c:ser>
        <c:ser>
          <c:idx val="4"/>
          <c:order val="2"/>
          <c:tx>
            <c:strRef>
              <c:f>Main!$D$7</c:f>
              <c:strCache>
                <c:ptCount val="1"/>
                <c:pt idx="0">
                  <c:v>Industry Emission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Main!$M$8:$M$88</c:f>
              <c:numCache>
                <c:formatCode>General</c:formatCode>
                <c:ptCount val="81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</c:numCache>
            </c:numRef>
          </c:cat>
          <c:val>
            <c:numRef>
              <c:f>Main!$D$8:$D$88</c:f>
              <c:numCache>
                <c:formatCode>_-* #,##0_-;\-* #,##0_-;_-* "-"??_-;_-@_-</c:formatCode>
                <c:ptCount val="81"/>
                <c:pt idx="0">
                  <c:v>2521754</c:v>
                </c:pt>
                <c:pt idx="1">
                  <c:v>2546043</c:v>
                </c:pt>
                <c:pt idx="2">
                  <c:v>3358757</c:v>
                </c:pt>
                <c:pt idx="3">
                  <c:v>3547397</c:v>
                </c:pt>
                <c:pt idx="4">
                  <c:v>3978959</c:v>
                </c:pt>
                <c:pt idx="5">
                  <c:v>3776159</c:v>
                </c:pt>
                <c:pt idx="6">
                  <c:v>4105890</c:v>
                </c:pt>
                <c:pt idx="7">
                  <c:v>4466733</c:v>
                </c:pt>
                <c:pt idx="8">
                  <c:v>5307170</c:v>
                </c:pt>
                <c:pt idx="9">
                  <c:v>5659673</c:v>
                </c:pt>
                <c:pt idx="10">
                  <c:v>5569624</c:v>
                </c:pt>
                <c:pt idx="11">
                  <c:v>6210641</c:v>
                </c:pt>
                <c:pt idx="12">
                  <c:v>6208753</c:v>
                </c:pt>
                <c:pt idx="13">
                  <c:v>6801481</c:v>
                </c:pt>
                <c:pt idx="14">
                  <c:v>6414045</c:v>
                </c:pt>
                <c:pt idx="15">
                  <c:v>6966219</c:v>
                </c:pt>
                <c:pt idx="16">
                  <c:v>6831203</c:v>
                </c:pt>
                <c:pt idx="17">
                  <c:v>6409029</c:v>
                </c:pt>
                <c:pt idx="18">
                  <c:v>7537098</c:v>
                </c:pt>
                <c:pt idx="19">
                  <c:v>7840329</c:v>
                </c:pt>
                <c:pt idx="20">
                  <c:v>11769301</c:v>
                </c:pt>
                <c:pt idx="21">
                  <c:v>13049823</c:v>
                </c:pt>
                <c:pt idx="22">
                  <c:v>13251783</c:v>
                </c:pt>
                <c:pt idx="23">
                  <c:v>14284268</c:v>
                </c:pt>
                <c:pt idx="24">
                  <c:v>15055458</c:v>
                </c:pt>
                <c:pt idx="25">
                  <c:v>13928595</c:v>
                </c:pt>
                <c:pt idx="26">
                  <c:v>14902154</c:v>
                </c:pt>
                <c:pt idx="27">
                  <c:v>14984051</c:v>
                </c:pt>
                <c:pt idx="28">
                  <c:v>13880970</c:v>
                </c:pt>
                <c:pt idx="29">
                  <c:v>12770293</c:v>
                </c:pt>
                <c:pt idx="30">
                  <c:v>15028666</c:v>
                </c:pt>
                <c:pt idx="31">
                  <c:v>14970881</c:v>
                </c:pt>
                <c:pt idx="32">
                  <c:v>15522618</c:v>
                </c:pt>
                <c:pt idx="33">
                  <c:v>15322131</c:v>
                </c:pt>
                <c:pt idx="34">
                  <c:v>17601859</c:v>
                </c:pt>
                <c:pt idx="35">
                  <c:v>17140077</c:v>
                </c:pt>
                <c:pt idx="36">
                  <c:v>17811242</c:v>
                </c:pt>
                <c:pt idx="37">
                  <c:v>18426257</c:v>
                </c:pt>
                <c:pt idx="38">
                  <c:v>19023860</c:v>
                </c:pt>
                <c:pt idx="39">
                  <c:v>19832811</c:v>
                </c:pt>
                <c:pt idx="40">
                  <c:v>21316906</c:v>
                </c:pt>
                <c:pt idx="41">
                  <c:v>23073294</c:v>
                </c:pt>
                <c:pt idx="42">
                  <c:v>23134961</c:v>
                </c:pt>
                <c:pt idx="43">
                  <c:v>24013085</c:v>
                </c:pt>
                <c:pt idx="44">
                  <c:v>22981800</c:v>
                </c:pt>
                <c:pt idx="45">
                  <c:v>22147352</c:v>
                </c:pt>
                <c:pt idx="46">
                  <c:v>22244623</c:v>
                </c:pt>
                <c:pt idx="47">
                  <c:v>22885852</c:v>
                </c:pt>
                <c:pt idx="48">
                  <c:v>22741621</c:v>
                </c:pt>
                <c:pt idx="49">
                  <c:v>22682460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71-4A3E-BB61-7CEB98C6F486}"/>
            </c:ext>
          </c:extLst>
        </c:ser>
        <c:ser>
          <c:idx val="5"/>
          <c:order val="3"/>
          <c:tx>
            <c:strRef>
              <c:f>Main!$O$7</c:f>
              <c:strCache>
                <c:ptCount val="1"/>
                <c:pt idx="0">
                  <c:v>Forecast Industry Emission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Main!$M$8:$M$88</c:f>
              <c:numCache>
                <c:formatCode>General</c:formatCode>
                <c:ptCount val="81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</c:numCache>
            </c:numRef>
          </c:cat>
          <c:val>
            <c:numRef>
              <c:f>Main!$O$8:$O$88</c:f>
              <c:numCache>
                <c:formatCode>General</c:formatCode>
                <c:ptCount val="81"/>
                <c:pt idx="49" formatCode="_-* #,##0_-;\-* #,##0_-;_-* &quot;-&quot;??_-;_-@_-">
                  <c:v>22682460</c:v>
                </c:pt>
                <c:pt idx="50" formatCode="_-* #,##0_-;\-* #,##0_-;_-* &quot;-&quot;??_-;_-@_-">
                  <c:v>26302157.214589871</c:v>
                </c:pt>
                <c:pt idx="51" formatCode="_-* #,##0_-;\-* #,##0_-;_-* &quot;-&quot;??_-;_-@_-">
                  <c:v>26647956.927514002</c:v>
                </c:pt>
                <c:pt idx="52" formatCode="_-* #,##0_-;\-* #,##0_-;_-* &quot;-&quot;??_-;_-@_-">
                  <c:v>27128732.550247021</c:v>
                </c:pt>
                <c:pt idx="53" formatCode="_-* #,##0_-;\-* #,##0_-;_-* &quot;-&quot;??_-;_-@_-">
                  <c:v>27609508.172980048</c:v>
                </c:pt>
                <c:pt idx="54" formatCode="_-* #,##0_-;\-* #,##0_-;_-* &quot;-&quot;??_-;_-@_-">
                  <c:v>28090283.795713075</c:v>
                </c:pt>
                <c:pt idx="55" formatCode="_-* #,##0_-;\-* #,##0_-;_-* &quot;-&quot;??_-;_-@_-">
                  <c:v>28571059.418446094</c:v>
                </c:pt>
                <c:pt idx="56" formatCode="_-* #,##0_-;\-* #,##0_-;_-* &quot;-&quot;??_-;_-@_-">
                  <c:v>29051835.041179121</c:v>
                </c:pt>
                <c:pt idx="57" formatCode="_-* #,##0_-;\-* #,##0_-;_-* &quot;-&quot;??_-;_-@_-">
                  <c:v>29532610.663912147</c:v>
                </c:pt>
                <c:pt idx="58" formatCode="_-* #,##0_-;\-* #,##0_-;_-* &quot;-&quot;??_-;_-@_-">
                  <c:v>30013386.286645174</c:v>
                </c:pt>
                <c:pt idx="59" formatCode="_-* #,##0_-;\-* #,##0_-;_-* &quot;-&quot;??_-;_-@_-">
                  <c:v>30494161.909378201</c:v>
                </c:pt>
                <c:pt idx="60" formatCode="_-* #,##0_-;\-* #,##0_-;_-* &quot;-&quot;??_-;_-@_-">
                  <c:v>30974937.532111228</c:v>
                </c:pt>
                <c:pt idx="61" formatCode="_-* #,##0_-;\-* #,##0_-;_-* &quot;-&quot;??_-;_-@_-">
                  <c:v>31455713.154844254</c:v>
                </c:pt>
                <c:pt idx="62" formatCode="_-* #,##0_-;\-* #,##0_-;_-* &quot;-&quot;??_-;_-@_-">
                  <c:v>31936488.777577281</c:v>
                </c:pt>
                <c:pt idx="63" formatCode="_-* #,##0_-;\-* #,##0_-;_-* &quot;-&quot;??_-;_-@_-">
                  <c:v>32417264.4003103</c:v>
                </c:pt>
                <c:pt idx="64" formatCode="_-* #,##0_-;\-* #,##0_-;_-* &quot;-&quot;??_-;_-@_-">
                  <c:v>32898040.023043327</c:v>
                </c:pt>
                <c:pt idx="65" formatCode="_-* #,##0_-;\-* #,##0_-;_-* &quot;-&quot;??_-;_-@_-">
                  <c:v>33378815.645776354</c:v>
                </c:pt>
                <c:pt idx="66" formatCode="_-* #,##0_-;\-* #,##0_-;_-* &quot;-&quot;??_-;_-@_-">
                  <c:v>33859591.268509381</c:v>
                </c:pt>
                <c:pt idx="67" formatCode="_-* #,##0_-;\-* #,##0_-;_-* &quot;-&quot;??_-;_-@_-">
                  <c:v>34340366.8912424</c:v>
                </c:pt>
                <c:pt idx="68" formatCode="_-* #,##0_-;\-* #,##0_-;_-* &quot;-&quot;??_-;_-@_-">
                  <c:v>34821142.513975427</c:v>
                </c:pt>
                <c:pt idx="69" formatCode="_-* #,##0_-;\-* #,##0_-;_-* &quot;-&quot;??_-;_-@_-">
                  <c:v>35301918.136708453</c:v>
                </c:pt>
                <c:pt idx="70" formatCode="_-* #,##0_-;\-* #,##0_-;_-* &quot;-&quot;??_-;_-@_-">
                  <c:v>35782693.75944148</c:v>
                </c:pt>
                <c:pt idx="71" formatCode="_-* #,##0_-;\-* #,##0_-;_-* &quot;-&quot;??_-;_-@_-">
                  <c:v>36263469.382174499</c:v>
                </c:pt>
                <c:pt idx="72" formatCode="_-* #,##0_-;\-* #,##0_-;_-* &quot;-&quot;??_-;_-@_-">
                  <c:v>36744245.004907526</c:v>
                </c:pt>
                <c:pt idx="73" formatCode="_-* #,##0_-;\-* #,##0_-;_-* &quot;-&quot;??_-;_-@_-">
                  <c:v>37225020.627640553</c:v>
                </c:pt>
                <c:pt idx="74" formatCode="_-* #,##0_-;\-* #,##0_-;_-* &quot;-&quot;??_-;_-@_-">
                  <c:v>37705796.25037358</c:v>
                </c:pt>
                <c:pt idx="75" formatCode="_-* #,##0_-;\-* #,##0_-;_-* &quot;-&quot;??_-;_-@_-">
                  <c:v>38186571.873106599</c:v>
                </c:pt>
                <c:pt idx="76" formatCode="_-* #,##0_-;\-* #,##0_-;_-* &quot;-&quot;??_-;_-@_-">
                  <c:v>38667347.495839626</c:v>
                </c:pt>
                <c:pt idx="77" formatCode="_-* #,##0_-;\-* #,##0_-;_-* &quot;-&quot;??_-;_-@_-">
                  <c:v>39148123.118572652</c:v>
                </c:pt>
                <c:pt idx="78" formatCode="_-* #,##0_-;\-* #,##0_-;_-* &quot;-&quot;??_-;_-@_-">
                  <c:v>39628898.741305672</c:v>
                </c:pt>
                <c:pt idx="79" formatCode="_-* #,##0_-;\-* #,##0_-;_-* &quot;-&quot;??_-;_-@_-">
                  <c:v>40109674.364038706</c:v>
                </c:pt>
                <c:pt idx="80" formatCode="_-* #,##0_-;\-* #,##0_-;_-* &quot;-&quot;??_-;_-@_-">
                  <c:v>40590449.986771725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71-4A3E-BB61-7CEB98C6F486}"/>
            </c:ext>
          </c:extLst>
        </c:ser>
        <c:ser>
          <c:idx val="6"/>
          <c:order val="4"/>
          <c:tx>
            <c:strRef>
              <c:f>Main!$E$7</c:f>
              <c:strCache>
                <c:ptCount val="1"/>
                <c:pt idx="0">
                  <c:v>Transport Emission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Main!$M$8:$M$88</c:f>
              <c:numCache>
                <c:formatCode>General</c:formatCode>
                <c:ptCount val="81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</c:numCache>
            </c:numRef>
          </c:cat>
          <c:val>
            <c:numRef>
              <c:f>Main!$E$8:$E$88</c:f>
              <c:numCache>
                <c:formatCode>_-* #,##0_-;\-* #,##0_-;_-* "-"??_-;_-@_-</c:formatCode>
                <c:ptCount val="81"/>
                <c:pt idx="0">
                  <c:v>1527564</c:v>
                </c:pt>
                <c:pt idx="1">
                  <c:v>1527563</c:v>
                </c:pt>
                <c:pt idx="2">
                  <c:v>1612457</c:v>
                </c:pt>
                <c:pt idx="3">
                  <c:v>1787371</c:v>
                </c:pt>
                <c:pt idx="4">
                  <c:v>1738721</c:v>
                </c:pt>
                <c:pt idx="5">
                  <c:v>1860826</c:v>
                </c:pt>
                <c:pt idx="6">
                  <c:v>2042594</c:v>
                </c:pt>
                <c:pt idx="7">
                  <c:v>2446545</c:v>
                </c:pt>
                <c:pt idx="8">
                  <c:v>2593383</c:v>
                </c:pt>
                <c:pt idx="9">
                  <c:v>2957132</c:v>
                </c:pt>
                <c:pt idx="10">
                  <c:v>2857830</c:v>
                </c:pt>
                <c:pt idx="11">
                  <c:v>3047641</c:v>
                </c:pt>
                <c:pt idx="12">
                  <c:v>3270503</c:v>
                </c:pt>
                <c:pt idx="13">
                  <c:v>3403498</c:v>
                </c:pt>
                <c:pt idx="14">
                  <c:v>3644719</c:v>
                </c:pt>
                <c:pt idx="15">
                  <c:v>3407500</c:v>
                </c:pt>
                <c:pt idx="16">
                  <c:v>3473969</c:v>
                </c:pt>
                <c:pt idx="17">
                  <c:v>3580345</c:v>
                </c:pt>
                <c:pt idx="18">
                  <c:v>3497325</c:v>
                </c:pt>
                <c:pt idx="19">
                  <c:v>4072784</c:v>
                </c:pt>
                <c:pt idx="20">
                  <c:v>4066884</c:v>
                </c:pt>
                <c:pt idx="21">
                  <c:v>4930208</c:v>
                </c:pt>
                <c:pt idx="22">
                  <c:v>4759466</c:v>
                </c:pt>
                <c:pt idx="23">
                  <c:v>4721902</c:v>
                </c:pt>
                <c:pt idx="24">
                  <c:v>5136870</c:v>
                </c:pt>
                <c:pt idx="25">
                  <c:v>5646282</c:v>
                </c:pt>
                <c:pt idx="26">
                  <c:v>5106172</c:v>
                </c:pt>
                <c:pt idx="27">
                  <c:v>5064869</c:v>
                </c:pt>
                <c:pt idx="28">
                  <c:v>5080118</c:v>
                </c:pt>
                <c:pt idx="29">
                  <c:v>5137150</c:v>
                </c:pt>
                <c:pt idx="30">
                  <c:v>5218509</c:v>
                </c:pt>
                <c:pt idx="31">
                  <c:v>5316982</c:v>
                </c:pt>
                <c:pt idx="32">
                  <c:v>5288905</c:v>
                </c:pt>
                <c:pt idx="33">
                  <c:v>5305105</c:v>
                </c:pt>
                <c:pt idx="34">
                  <c:v>5409759</c:v>
                </c:pt>
                <c:pt idx="35">
                  <c:v>5593998</c:v>
                </c:pt>
                <c:pt idx="36">
                  <c:v>5812398</c:v>
                </c:pt>
                <c:pt idx="37">
                  <c:v>6007242</c:v>
                </c:pt>
                <c:pt idx="38">
                  <c:v>6126606</c:v>
                </c:pt>
                <c:pt idx="39">
                  <c:v>6704208</c:v>
                </c:pt>
                <c:pt idx="40">
                  <c:v>7033252</c:v>
                </c:pt>
                <c:pt idx="41">
                  <c:v>7551397</c:v>
                </c:pt>
                <c:pt idx="42">
                  <c:v>7356646</c:v>
                </c:pt>
                <c:pt idx="43">
                  <c:v>7111315</c:v>
                </c:pt>
                <c:pt idx="44">
                  <c:v>6879395</c:v>
                </c:pt>
                <c:pt idx="45">
                  <c:v>6640187</c:v>
                </c:pt>
                <c:pt idx="46">
                  <c:v>6622245</c:v>
                </c:pt>
                <c:pt idx="47">
                  <c:v>6894975</c:v>
                </c:pt>
                <c:pt idx="48">
                  <c:v>6971313</c:v>
                </c:pt>
                <c:pt idx="49">
                  <c:v>6798679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271-4A3E-BB61-7CEB98C6F486}"/>
            </c:ext>
          </c:extLst>
        </c:ser>
        <c:ser>
          <c:idx val="7"/>
          <c:order val="5"/>
          <c:tx>
            <c:strRef>
              <c:f>Main!$P$7</c:f>
              <c:strCache>
                <c:ptCount val="1"/>
                <c:pt idx="0">
                  <c:v>Forecast Transport Emission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Main!$M$8:$M$88</c:f>
              <c:numCache>
                <c:formatCode>General</c:formatCode>
                <c:ptCount val="81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</c:numCache>
            </c:numRef>
          </c:cat>
          <c:val>
            <c:numRef>
              <c:f>Main!$P$8:$P$88</c:f>
              <c:numCache>
                <c:formatCode>General</c:formatCode>
                <c:ptCount val="81"/>
                <c:pt idx="49" formatCode="_-* #,##0_-;\-* #,##0_-;_-* &quot;-&quot;??_-;_-@_-">
                  <c:v>6798679</c:v>
                </c:pt>
                <c:pt idx="50" formatCode="_-* #,##0_-;\-* #,##0_-;_-* &quot;-&quot;??_-;_-@_-">
                  <c:v>7005451.2752512973</c:v>
                </c:pt>
                <c:pt idx="51" formatCode="_-* #,##0_-;\-* #,##0_-;_-* &quot;-&quot;??_-;_-@_-">
                  <c:v>7102114.0379816629</c:v>
                </c:pt>
                <c:pt idx="52" formatCode="_-* #,##0_-;\-* #,##0_-;_-* &quot;-&quot;??_-;_-@_-">
                  <c:v>7090963.2556823511</c:v>
                </c:pt>
                <c:pt idx="53" formatCode="_-* #,##0_-;\-* #,##0_-;_-* &quot;-&quot;??_-;_-@_-">
                  <c:v>7489518.8290907172</c:v>
                </c:pt>
                <c:pt idx="54" formatCode="_-* #,##0_-;\-* #,##0_-;_-* &quot;-&quot;??_-;_-@_-">
                  <c:v>7577629.1997098755</c:v>
                </c:pt>
                <c:pt idx="55" formatCode="_-* #,##0_-;\-* #,##0_-;_-* &quot;-&quot;??_-;_-@_-">
                  <c:v>8129360.3356862646</c:v>
                </c:pt>
                <c:pt idx="56" formatCode="_-* #,##0_-;\-* #,##0_-;_-* &quot;-&quot;??_-;_-@_-">
                  <c:v>8251902.423532242</c:v>
                </c:pt>
                <c:pt idx="57" formatCode="_-* #,##0_-;\-* #,##0_-;_-* &quot;-&quot;??_-;_-@_-">
                  <c:v>8343157.8843049584</c:v>
                </c:pt>
                <c:pt idx="58" formatCode="_-* #,##0_-;\-* #,##0_-;_-* &quot;-&quot;??_-;_-@_-">
                  <c:v>8624922.7942691594</c:v>
                </c:pt>
                <c:pt idx="59" formatCode="_-* #,##0_-;\-* #,##0_-;_-* &quot;-&quot;??_-;_-@_-">
                  <c:v>8774610.4322505891</c:v>
                </c:pt>
                <c:pt idx="60" formatCode="_-* #,##0_-;\-* #,##0_-;_-* &quot;-&quot;??_-;_-@_-">
                  <c:v>8609169.9710967336</c:v>
                </c:pt>
                <c:pt idx="61" formatCode="_-* #,##0_-;\-* #,##0_-;_-* &quot;-&quot;??_-;_-@_-">
                  <c:v>8505704.4559661672</c:v>
                </c:pt>
                <c:pt idx="62" formatCode="_-* #,##0_-;\-* #,##0_-;_-* &quot;-&quot;??_-;_-@_-">
                  <c:v>8529904.7932729349</c:v>
                </c:pt>
                <c:pt idx="63" formatCode="_-* #,##0_-;\-* #,##0_-;_-* &quot;-&quot;??_-;_-@_-">
                  <c:v>8660821.3184116762</c:v>
                </c:pt>
                <c:pt idx="64" formatCode="_-* #,##0_-;\-* #,##0_-;_-* &quot;-&quot;??_-;_-@_-">
                  <c:v>8841368.4893020391</c:v>
                </c:pt>
                <c:pt idx="65" formatCode="_-* #,##0_-;\-* #,##0_-;_-* &quot;-&quot;??_-;_-@_-">
                  <c:v>8995539.0944151357</c:v>
                </c:pt>
                <c:pt idx="66" formatCode="_-* #,##0_-;\-* #,##0_-;_-* &quot;-&quot;??_-;_-@_-">
                  <c:v>8869985.9043217506</c:v>
                </c:pt>
                <c:pt idx="67" formatCode="_-* #,##0_-;\-* #,##0_-;_-* &quot;-&quot;??_-;_-@_-">
                  <c:v>8956380.1211876608</c:v>
                </c:pt>
                <c:pt idx="68" formatCode="_-* #,##0_-;\-* #,##0_-;_-* &quot;-&quot;??_-;_-@_-">
                  <c:v>9053042.8839180283</c:v>
                </c:pt>
                <c:pt idx="69" formatCode="_-* #,##0_-;\-* #,##0_-;_-* &quot;-&quot;??_-;_-@_-">
                  <c:v>9041892.1016187165</c:v>
                </c:pt>
                <c:pt idx="70" formatCode="_-* #,##0_-;\-* #,##0_-;_-* &quot;-&quot;??_-;_-@_-">
                  <c:v>9440447.6750270817</c:v>
                </c:pt>
                <c:pt idx="71" formatCode="_-* #,##0_-;\-* #,##0_-;_-* &quot;-&quot;??_-;_-@_-">
                  <c:v>9528558.0456462391</c:v>
                </c:pt>
                <c:pt idx="72" formatCode="_-* #,##0_-;\-* #,##0_-;_-* &quot;-&quot;??_-;_-@_-">
                  <c:v>10080289.181622628</c:v>
                </c:pt>
                <c:pt idx="73" formatCode="_-* #,##0_-;\-* #,##0_-;_-* &quot;-&quot;??_-;_-@_-">
                  <c:v>10202831.269468607</c:v>
                </c:pt>
                <c:pt idx="74" formatCode="_-* #,##0_-;\-* #,##0_-;_-* &quot;-&quot;??_-;_-@_-">
                  <c:v>10294086.730241325</c:v>
                </c:pt>
                <c:pt idx="75" formatCode="_-* #,##0_-;\-* #,##0_-;_-* &quot;-&quot;??_-;_-@_-">
                  <c:v>10575851.640205525</c:v>
                </c:pt>
                <c:pt idx="76" formatCode="_-* #,##0_-;\-* #,##0_-;_-* &quot;-&quot;??_-;_-@_-">
                  <c:v>10725539.278186953</c:v>
                </c:pt>
                <c:pt idx="77" formatCode="_-* #,##0_-;\-* #,##0_-;_-* &quot;-&quot;??_-;_-@_-">
                  <c:v>10560098.817033099</c:v>
                </c:pt>
                <c:pt idx="78" formatCode="_-* #,##0_-;\-* #,##0_-;_-* &quot;-&quot;??_-;_-@_-">
                  <c:v>10456633.301902531</c:v>
                </c:pt>
                <c:pt idx="79" formatCode="_-* #,##0_-;\-* #,##0_-;_-* &quot;-&quot;??_-;_-@_-">
                  <c:v>10480833.6392093</c:v>
                </c:pt>
                <c:pt idx="80" formatCode="_-* #,##0_-;\-* #,##0_-;_-* &quot;-&quot;??_-;_-@_-">
                  <c:v>10611750.164348042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271-4A3E-BB61-7CEB98C6F486}"/>
            </c:ext>
          </c:extLst>
        </c:ser>
        <c:ser>
          <c:idx val="0"/>
          <c:order val="6"/>
          <c:tx>
            <c:strRef>
              <c:f>Main!$F$7</c:f>
              <c:strCache>
                <c:ptCount val="1"/>
                <c:pt idx="0">
                  <c:v>Others Emission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Main!$M$8:$M$88</c:f>
              <c:numCache>
                <c:formatCode>General</c:formatCode>
                <c:ptCount val="81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</c:numCache>
            </c:numRef>
          </c:cat>
          <c:val>
            <c:numRef>
              <c:f>Main!$F$8:$F$88</c:f>
              <c:numCache>
                <c:formatCode>_-* #,##0_-;\-* #,##0_-;_-* "-"??_-;_-@_-</c:formatCode>
                <c:ptCount val="81"/>
                <c:pt idx="0">
                  <c:v>326510</c:v>
                </c:pt>
                <c:pt idx="1">
                  <c:v>326510</c:v>
                </c:pt>
                <c:pt idx="2">
                  <c:v>251593</c:v>
                </c:pt>
                <c:pt idx="3">
                  <c:v>258464</c:v>
                </c:pt>
                <c:pt idx="4">
                  <c:v>251582</c:v>
                </c:pt>
                <c:pt idx="5">
                  <c:v>219807</c:v>
                </c:pt>
                <c:pt idx="6">
                  <c:v>215673</c:v>
                </c:pt>
                <c:pt idx="7">
                  <c:v>226754</c:v>
                </c:pt>
                <c:pt idx="8">
                  <c:v>271944</c:v>
                </c:pt>
                <c:pt idx="9">
                  <c:v>312736</c:v>
                </c:pt>
                <c:pt idx="10">
                  <c:v>313739</c:v>
                </c:pt>
                <c:pt idx="11">
                  <c:v>296335</c:v>
                </c:pt>
                <c:pt idx="12">
                  <c:v>298018</c:v>
                </c:pt>
                <c:pt idx="13">
                  <c:v>299680</c:v>
                </c:pt>
                <c:pt idx="14">
                  <c:v>303775</c:v>
                </c:pt>
                <c:pt idx="15">
                  <c:v>1383882</c:v>
                </c:pt>
                <c:pt idx="16">
                  <c:v>1212589</c:v>
                </c:pt>
                <c:pt idx="17">
                  <c:v>1271942</c:v>
                </c:pt>
                <c:pt idx="18">
                  <c:v>1285519</c:v>
                </c:pt>
                <c:pt idx="19">
                  <c:v>1412701</c:v>
                </c:pt>
                <c:pt idx="20">
                  <c:v>1319673</c:v>
                </c:pt>
                <c:pt idx="21">
                  <c:v>1244539</c:v>
                </c:pt>
                <c:pt idx="22">
                  <c:v>729272</c:v>
                </c:pt>
                <c:pt idx="23">
                  <c:v>743275</c:v>
                </c:pt>
                <c:pt idx="24">
                  <c:v>755281</c:v>
                </c:pt>
                <c:pt idx="25">
                  <c:v>619848</c:v>
                </c:pt>
                <c:pt idx="26">
                  <c:v>649015</c:v>
                </c:pt>
                <c:pt idx="27">
                  <c:v>833133</c:v>
                </c:pt>
                <c:pt idx="28">
                  <c:v>603282</c:v>
                </c:pt>
                <c:pt idx="29">
                  <c:v>601622</c:v>
                </c:pt>
                <c:pt idx="30">
                  <c:v>613900</c:v>
                </c:pt>
                <c:pt idx="31">
                  <c:v>615872</c:v>
                </c:pt>
                <c:pt idx="32">
                  <c:v>685190</c:v>
                </c:pt>
                <c:pt idx="33">
                  <c:v>604330</c:v>
                </c:pt>
                <c:pt idx="34">
                  <c:v>609072</c:v>
                </c:pt>
                <c:pt idx="35">
                  <c:v>518262</c:v>
                </c:pt>
                <c:pt idx="36">
                  <c:v>462762</c:v>
                </c:pt>
                <c:pt idx="37">
                  <c:v>572561</c:v>
                </c:pt>
                <c:pt idx="38">
                  <c:v>595794</c:v>
                </c:pt>
                <c:pt idx="39">
                  <c:v>624341</c:v>
                </c:pt>
                <c:pt idx="40">
                  <c:v>640097</c:v>
                </c:pt>
                <c:pt idx="41">
                  <c:v>625279</c:v>
                </c:pt>
                <c:pt idx="42">
                  <c:v>627017</c:v>
                </c:pt>
                <c:pt idx="43">
                  <c:v>649843</c:v>
                </c:pt>
                <c:pt idx="44">
                  <c:v>603895</c:v>
                </c:pt>
                <c:pt idx="45">
                  <c:v>613993</c:v>
                </c:pt>
                <c:pt idx="46">
                  <c:v>620881</c:v>
                </c:pt>
                <c:pt idx="47">
                  <c:v>637120</c:v>
                </c:pt>
                <c:pt idx="48">
                  <c:v>640429</c:v>
                </c:pt>
                <c:pt idx="49">
                  <c:v>645259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271-4A3E-BB61-7CEB98C6F486}"/>
            </c:ext>
          </c:extLst>
        </c:ser>
        <c:ser>
          <c:idx val="1"/>
          <c:order val="7"/>
          <c:tx>
            <c:strRef>
              <c:f>Main!$Q$7</c:f>
              <c:strCache>
                <c:ptCount val="1"/>
                <c:pt idx="0">
                  <c:v>Forecast Others Emission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Main!$M$8:$M$88</c:f>
              <c:numCache>
                <c:formatCode>General</c:formatCode>
                <c:ptCount val="81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</c:numCache>
            </c:numRef>
          </c:cat>
          <c:val>
            <c:numRef>
              <c:f>Main!$Q$8:$Q$88</c:f>
              <c:numCache>
                <c:formatCode>General</c:formatCode>
                <c:ptCount val="81"/>
                <c:pt idx="49" formatCode="_-* #,##0_-;\-* #,##0_-;_-* &quot;-&quot;??_-;_-@_-">
                  <c:v>532526.72727272729</c:v>
                </c:pt>
                <c:pt idx="50" formatCode="_-* #,##0_-;\-* #,##0_-;_-* &quot;-&quot;??_-;_-@_-">
                  <c:v>563646.27319692669</c:v>
                </c:pt>
                <c:pt idx="51" formatCode="_-* #,##0_-;\-* #,##0_-;_-* &quot;-&quot;??_-;_-@_-">
                  <c:v>570155.34854947031</c:v>
                </c:pt>
                <c:pt idx="52" formatCode="_-* #,##0_-;\-* #,##0_-;_-* &quot;-&quot;??_-;_-@_-">
                  <c:v>576816.80716688442</c:v>
                </c:pt>
                <c:pt idx="53" formatCode="_-* #,##0_-;\-* #,##0_-;_-* &quot;-&quot;??_-;_-@_-">
                  <c:v>587607.18469703326</c:v>
                </c:pt>
                <c:pt idx="54" formatCode="_-* #,##0_-;\-* #,##0_-;_-* &quot;-&quot;??_-;_-@_-">
                  <c:v>595196.50604811672</c:v>
                </c:pt>
                <c:pt idx="55" formatCode="_-* #,##0_-;\-* #,##0_-;_-* &quot;-&quot;??_-;_-@_-">
                  <c:v>607361.30088382529</c:v>
                </c:pt>
                <c:pt idx="56" formatCode="_-* #,##0_-;\-* #,##0_-;_-* &quot;-&quot;??_-;_-@_-">
                  <c:v>615085.33058806334</c:v>
                </c:pt>
                <c:pt idx="57" formatCode="_-* #,##0_-;\-* #,##0_-;_-* &quot;-&quot;??_-;_-@_-">
                  <c:v>622405.23168080114</c:v>
                </c:pt>
                <c:pt idx="58" formatCode="_-* #,##0_-;\-* #,##0_-;_-* &quot;-&quot;??_-;_-@_-">
                  <c:v>631554.4768339399</c:v>
                </c:pt>
                <c:pt idx="59" formatCode="_-* #,##0_-;\-* #,##0_-;_-* &quot;-&quot;??_-;_-@_-">
                  <c:v>639266.57750145264</c:v>
                </c:pt>
                <c:pt idx="60" formatCode="_-* #,##0_-;\-* #,##0_-;_-* &quot;-&quot;??_-;_-@_-">
                  <c:v>643686.73327206203</c:v>
                </c:pt>
                <c:pt idx="61" formatCode="_-* #,##0_-;\-* #,##0_-;_-* &quot;-&quot;??_-;_-@_-">
                  <c:v>648620.80298328912</c:v>
                </c:pt>
                <c:pt idx="62" formatCode="_-* #,##0_-;\-* #,##0_-;_-* &quot;-&quot;??_-;_-@_-">
                  <c:v>654730.06924570096</c:v>
                </c:pt>
                <c:pt idx="63" formatCode="_-* #,##0_-;\-* #,##0_-;_-* &quot;-&quot;??_-;_-@_-">
                  <c:v>661800.66668860323</c:v>
                </c:pt>
                <c:pt idx="64" formatCode="_-* #,##0_-;\-* #,##0_-;_-* &quot;-&quot;??_-;_-@_-">
                  <c:v>669253.3269157809</c:v>
                </c:pt>
                <c:pt idx="65" formatCode="_-* #,##0_-;\-* #,##0_-;_-* &quot;-&quot;??_-;_-@_-">
                  <c:v>676318.78404037806</c:v>
                </c:pt>
                <c:pt idx="66" formatCode="_-* #,##0_-;\-* #,##0_-;_-* &quot;-&quot;??_-;_-@_-">
                  <c:v>680438.74768827262</c:v>
                </c:pt>
                <c:pt idx="67" formatCode="_-* #,##0_-;\-* #,##0_-;_-* &quot;-&quot;??_-;_-@_-">
                  <c:v>686580.23043564276</c:v>
                </c:pt>
                <c:pt idx="68" formatCode="_-* #,##0_-;\-* #,##0_-;_-* &quot;-&quot;??_-;_-@_-">
                  <c:v>692708.80703208235</c:v>
                </c:pt>
                <c:pt idx="69" formatCode="_-* #,##0_-;\-* #,##0_-;_-* &quot;-&quot;??_-;_-@_-">
                  <c:v>697636.73112734209</c:v>
                </c:pt>
                <c:pt idx="70" formatCode="_-* #,##0_-;\-* #,##0_-;_-* &quot;-&quot;??_-;_-@_-">
                  <c:v>706595.61426779884</c:v>
                </c:pt>
                <c:pt idx="71" formatCode="_-* #,##0_-;\-* #,##0_-;_-* &quot;-&quot;??_-;_-@_-">
                  <c:v>712314.43117929832</c:v>
                </c:pt>
                <c:pt idx="72" formatCode="_-* #,##0_-;\-* #,##0_-;_-* &quot;-&quot;??_-;_-@_-">
                  <c:v>722615.91969112365</c:v>
                </c:pt>
                <c:pt idx="73" formatCode="_-* #,##0_-;\-* #,##0_-;_-* &quot;-&quot;??_-;_-@_-">
                  <c:v>728488.43195998389</c:v>
                </c:pt>
                <c:pt idx="74" formatCode="_-* #,##0_-;\-* #,##0_-;_-* &quot;-&quot;??_-;_-@_-">
                  <c:v>733959.74866462802</c:v>
                </c:pt>
                <c:pt idx="75" formatCode="_-* #,##0_-;\-* #,##0_-;_-* &quot;-&quot;??_-;_-@_-">
                  <c:v>741277.88038883673</c:v>
                </c:pt>
                <c:pt idx="76" formatCode="_-* #,##0_-;\-* #,##0_-;_-* &quot;-&quot;??_-;_-@_-">
                  <c:v>747189.20092349965</c:v>
                </c:pt>
                <c:pt idx="77" formatCode="_-* #,##0_-;\-* #,##0_-;_-* &quot;-&quot;??_-;_-@_-">
                  <c:v>749848.81177949882</c:v>
                </c:pt>
                <c:pt idx="78" formatCode="_-* #,##0_-;\-* #,##0_-;_-* &quot;-&quot;??_-;_-@_-">
                  <c:v>753074.87694350362</c:v>
                </c:pt>
                <c:pt idx="79" formatCode="_-* #,##0_-;\-* #,##0_-;_-* &quot;-&quot;??_-;_-@_-">
                  <c:v>757535.7057384284</c:v>
                </c:pt>
                <c:pt idx="80" formatCode="_-* #,##0_-;\-* #,##0_-;_-* &quot;-&quot;??_-;_-@_-">
                  <c:v>763027.39306250901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271-4A3E-BB61-7CEB98C6F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7064031"/>
        <c:axId val="1517083999"/>
      </c:lineChart>
      <c:catAx>
        <c:axId val="1517064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083999"/>
        <c:crosses val="autoZero"/>
        <c:auto val="1"/>
        <c:lblAlgn val="ctr"/>
        <c:lblOffset val="100"/>
        <c:noMultiLvlLbl val="0"/>
      </c:catAx>
      <c:valAx>
        <c:axId val="1517083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064031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 sz="1200"/>
              <a:t>Historical &amp; Forecast</a:t>
            </a:r>
            <a:r>
              <a:rPr lang="en-SG" sz="1200" baseline="0"/>
              <a:t> Total Emission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Main!$G$7</c:f>
              <c:strCache>
                <c:ptCount val="1"/>
                <c:pt idx="0">
                  <c:v>Total Emission</c:v>
                </c:pt>
              </c:strCache>
            </c:strRef>
          </c:tx>
          <c:marker>
            <c:symbol val="none"/>
          </c:marker>
          <c:cat>
            <c:numRef>
              <c:f>Main!$M$8:$M$88</c:f>
              <c:numCache>
                <c:formatCode>General</c:formatCode>
                <c:ptCount val="81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</c:numCache>
            </c:numRef>
          </c:cat>
          <c:val>
            <c:numRef>
              <c:f>Main!$G$8:$G$88</c:f>
              <c:numCache>
                <c:formatCode>_-* #,##0_-;\-* #,##0_-;_-* "-"??_-;_-@_-</c:formatCode>
                <c:ptCount val="81"/>
                <c:pt idx="0">
                  <c:v>6609347</c:v>
                </c:pt>
                <c:pt idx="1">
                  <c:v>6633627</c:v>
                </c:pt>
                <c:pt idx="2">
                  <c:v>7928099</c:v>
                </c:pt>
                <c:pt idx="3">
                  <c:v>8833398</c:v>
                </c:pt>
                <c:pt idx="4">
                  <c:v>9224258</c:v>
                </c:pt>
                <c:pt idx="5">
                  <c:v>9273190</c:v>
                </c:pt>
                <c:pt idx="6">
                  <c:v>10082648</c:v>
                </c:pt>
                <c:pt idx="7">
                  <c:v>11180347</c:v>
                </c:pt>
                <c:pt idx="8">
                  <c:v>12802360</c:v>
                </c:pt>
                <c:pt idx="9">
                  <c:v>13761713</c:v>
                </c:pt>
                <c:pt idx="10">
                  <c:v>13811119</c:v>
                </c:pt>
                <c:pt idx="11">
                  <c:v>14952376</c:v>
                </c:pt>
                <c:pt idx="12">
                  <c:v>15606925</c:v>
                </c:pt>
                <c:pt idx="13">
                  <c:v>16934400</c:v>
                </c:pt>
                <c:pt idx="14">
                  <c:v>17162950</c:v>
                </c:pt>
                <c:pt idx="15">
                  <c:v>18833686</c:v>
                </c:pt>
                <c:pt idx="16">
                  <c:v>19092841</c:v>
                </c:pt>
                <c:pt idx="17">
                  <c:v>19440137</c:v>
                </c:pt>
                <c:pt idx="18">
                  <c:v>22046109</c:v>
                </c:pt>
                <c:pt idx="19">
                  <c:v>23434718</c:v>
                </c:pt>
                <c:pt idx="20">
                  <c:v>31578586</c:v>
                </c:pt>
                <c:pt idx="21">
                  <c:v>33299633</c:v>
                </c:pt>
                <c:pt idx="22">
                  <c:v>34151994</c:v>
                </c:pt>
                <c:pt idx="23">
                  <c:v>39364194</c:v>
                </c:pt>
                <c:pt idx="24">
                  <c:v>41475069</c:v>
                </c:pt>
                <c:pt idx="25">
                  <c:v>41162665</c:v>
                </c:pt>
                <c:pt idx="26">
                  <c:v>42302579</c:v>
                </c:pt>
                <c:pt idx="27">
                  <c:v>42045184</c:v>
                </c:pt>
                <c:pt idx="28">
                  <c:v>40522334</c:v>
                </c:pt>
                <c:pt idx="29">
                  <c:v>41034857</c:v>
                </c:pt>
                <c:pt idx="30">
                  <c:v>45223875</c:v>
                </c:pt>
                <c:pt idx="31">
                  <c:v>45098315</c:v>
                </c:pt>
                <c:pt idx="32">
                  <c:v>44714117</c:v>
                </c:pt>
                <c:pt idx="33">
                  <c:v>42172188</c:v>
                </c:pt>
                <c:pt idx="34">
                  <c:v>44177667</c:v>
                </c:pt>
                <c:pt idx="35">
                  <c:v>42943698</c:v>
                </c:pt>
                <c:pt idx="36">
                  <c:v>43958533</c:v>
                </c:pt>
                <c:pt idx="37">
                  <c:v>45330083</c:v>
                </c:pt>
                <c:pt idx="38">
                  <c:v>45632269</c:v>
                </c:pt>
                <c:pt idx="39">
                  <c:v>46840776</c:v>
                </c:pt>
                <c:pt idx="40">
                  <c:v>50999827</c:v>
                </c:pt>
                <c:pt idx="41">
                  <c:v>53697480</c:v>
                </c:pt>
                <c:pt idx="42">
                  <c:v>53125723</c:v>
                </c:pt>
                <c:pt idx="43">
                  <c:v>53625744</c:v>
                </c:pt>
                <c:pt idx="44">
                  <c:v>52237783</c:v>
                </c:pt>
                <c:pt idx="45">
                  <c:v>51338703</c:v>
                </c:pt>
                <c:pt idx="46">
                  <c:v>51938342</c:v>
                </c:pt>
                <c:pt idx="47">
                  <c:v>53268013</c:v>
                </c:pt>
                <c:pt idx="48">
                  <c:v>52669503</c:v>
                </c:pt>
                <c:pt idx="49">
                  <c:v>53365405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37-432C-A32E-5670C7CD5E3C}"/>
            </c:ext>
          </c:extLst>
        </c:ser>
        <c:ser>
          <c:idx val="1"/>
          <c:order val="1"/>
          <c:tx>
            <c:strRef>
              <c:f>Main!$R$7</c:f>
              <c:strCache>
                <c:ptCount val="1"/>
                <c:pt idx="0">
                  <c:v>Forecast Total Emission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cat>
            <c:numRef>
              <c:f>Main!$M$8:$M$88</c:f>
              <c:numCache>
                <c:formatCode>General</c:formatCode>
                <c:ptCount val="81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</c:numCache>
            </c:numRef>
          </c:cat>
          <c:val>
            <c:numRef>
              <c:f>Main!$R$8:$R$88</c:f>
              <c:numCache>
                <c:formatCode>General</c:formatCode>
                <c:ptCount val="81"/>
                <c:pt idx="49" formatCode="_-* #,##0_-;\-* #,##0_-;_-* &quot;-&quot;??_-;_-@_-">
                  <c:v>53252672.727272727</c:v>
                </c:pt>
                <c:pt idx="50" formatCode="_-* #,##0_-;\-* #,##0_-;_-* &quot;-&quot;??_-;_-@_-">
                  <c:v>56364627.319692664</c:v>
                </c:pt>
                <c:pt idx="51" formatCode="_-* #,##0_-;\-* #,##0_-;_-* &quot;-&quot;??_-;_-@_-">
                  <c:v>57015534.854947031</c:v>
                </c:pt>
                <c:pt idx="52" formatCode="_-* #,##0_-;\-* #,##0_-;_-* &quot;-&quot;??_-;_-@_-">
                  <c:v>57681680.716688439</c:v>
                </c:pt>
                <c:pt idx="53" formatCode="_-* #,##0_-;\-* #,##0_-;_-* &quot;-&quot;??_-;_-@_-">
                  <c:v>58760718.469703324</c:v>
                </c:pt>
                <c:pt idx="54" formatCode="_-* #,##0_-;\-* #,##0_-;_-* &quot;-&quot;??_-;_-@_-">
                  <c:v>59519650.604811661</c:v>
                </c:pt>
                <c:pt idx="55" formatCode="_-* #,##0_-;\-* #,##0_-;_-* &quot;-&quot;??_-;_-@_-">
                  <c:v>60736130.088382527</c:v>
                </c:pt>
                <c:pt idx="56" formatCode="_-* #,##0_-;\-* #,##0_-;_-* &quot;-&quot;??_-;_-@_-">
                  <c:v>61508533.05880633</c:v>
                </c:pt>
                <c:pt idx="57" formatCode="_-* #,##0_-;\-* #,##0_-;_-* &quot;-&quot;??_-;_-@_-">
                  <c:v>62240523.168080114</c:v>
                </c:pt>
                <c:pt idx="58" formatCode="_-* #,##0_-;\-* #,##0_-;_-* &quot;-&quot;??_-;_-@_-">
                  <c:v>63155447.683393992</c:v>
                </c:pt>
                <c:pt idx="59" formatCode="_-* #,##0_-;\-* #,##0_-;_-* &quot;-&quot;??_-;_-@_-">
                  <c:v>63926657.750145264</c:v>
                </c:pt>
                <c:pt idx="60" formatCode="_-* #,##0_-;\-* #,##0_-;_-* &quot;-&quot;??_-;_-@_-">
                  <c:v>64368673.327206202</c:v>
                </c:pt>
                <c:pt idx="61" formatCode="_-* #,##0_-;\-* #,##0_-;_-* &quot;-&quot;??_-;_-@_-">
                  <c:v>64862080.298328914</c:v>
                </c:pt>
                <c:pt idx="62" formatCode="_-* #,##0_-;\-* #,##0_-;_-* &quot;-&quot;??_-;_-@_-">
                  <c:v>65473006.924570091</c:v>
                </c:pt>
                <c:pt idx="63" formatCode="_-* #,##0_-;\-* #,##0_-;_-* &quot;-&quot;??_-;_-@_-">
                  <c:v>66180066.668860324</c:v>
                </c:pt>
                <c:pt idx="64" formatCode="_-* #,##0_-;\-* #,##0_-;_-* &quot;-&quot;??_-;_-@_-">
                  <c:v>66925332.691578083</c:v>
                </c:pt>
                <c:pt idx="65" formatCode="_-* #,##0_-;\-* #,##0_-;_-* &quot;-&quot;??_-;_-@_-">
                  <c:v>67631878.404037803</c:v>
                </c:pt>
                <c:pt idx="66" formatCode="_-* #,##0_-;\-* #,##0_-;_-* &quot;-&quot;??_-;_-@_-">
                  <c:v>68043874.76882726</c:v>
                </c:pt>
                <c:pt idx="67" formatCode="_-* #,##0_-;\-* #,##0_-;_-* &quot;-&quot;??_-;_-@_-">
                  <c:v>68658023.043564275</c:v>
                </c:pt>
                <c:pt idx="68" formatCode="_-* #,##0_-;\-* #,##0_-;_-* &quot;-&quot;??_-;_-@_-">
                  <c:v>69270880.703208238</c:v>
                </c:pt>
                <c:pt idx="69" formatCode="_-* #,##0_-;\-* #,##0_-;_-* &quot;-&quot;??_-;_-@_-">
                  <c:v>69763673.112734213</c:v>
                </c:pt>
                <c:pt idx="70" formatCode="_-* #,##0_-;\-* #,##0_-;_-* &quot;-&quot;??_-;_-@_-">
                  <c:v>70659561.426779881</c:v>
                </c:pt>
                <c:pt idx="71" formatCode="_-* #,##0_-;\-* #,##0_-;_-* &quot;-&quot;??_-;_-@_-">
                  <c:v>71231443.117929831</c:v>
                </c:pt>
                <c:pt idx="72" formatCode="_-* #,##0_-;\-* #,##0_-;_-* &quot;-&quot;??_-;_-@_-">
                  <c:v>72261591.969112366</c:v>
                </c:pt>
                <c:pt idx="73" formatCode="_-* #,##0_-;\-* #,##0_-;_-* &quot;-&quot;??_-;_-@_-">
                  <c:v>72848843.195998386</c:v>
                </c:pt>
                <c:pt idx="74" formatCode="_-* #,##0_-;\-* #,##0_-;_-* &quot;-&quot;??_-;_-@_-">
                  <c:v>73395974.866462797</c:v>
                </c:pt>
                <c:pt idx="75" formatCode="_-* #,##0_-;\-* #,##0_-;_-* &quot;-&quot;??_-;_-@_-">
                  <c:v>74127788.038883671</c:v>
                </c:pt>
                <c:pt idx="76" formatCode="_-* #,##0_-;\-* #,##0_-;_-* &quot;-&quot;??_-;_-@_-">
                  <c:v>74718920.092349961</c:v>
                </c:pt>
                <c:pt idx="77" formatCode="_-* #,##0_-;\-* #,##0_-;_-* &quot;-&quot;??_-;_-@_-">
                  <c:v>74984881.177949876</c:v>
                </c:pt>
                <c:pt idx="78" formatCode="_-* #,##0_-;\-* #,##0_-;_-* &quot;-&quot;??_-;_-@_-">
                  <c:v>75307487.694350362</c:v>
                </c:pt>
                <c:pt idx="79" formatCode="_-* #,##0_-;\-* #,##0_-;_-* &quot;-&quot;??_-;_-@_-">
                  <c:v>75753570.573842838</c:v>
                </c:pt>
                <c:pt idx="80" formatCode="_-* #,##0_-;\-* #,##0_-;_-* &quot;-&quot;??_-;_-@_-">
                  <c:v>76302739.306250885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37-432C-A32E-5670C7CD5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7064031"/>
        <c:axId val="1517083999"/>
      </c:lineChart>
      <c:catAx>
        <c:axId val="1517064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083999"/>
        <c:crosses val="autoZero"/>
        <c:auto val="1"/>
        <c:lblAlgn val="ctr"/>
        <c:lblOffset val="100"/>
        <c:noMultiLvlLbl val="0"/>
      </c:catAx>
      <c:valAx>
        <c:axId val="1517083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064031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SG"/>
              <a:t>Population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Electricity Consumption</c:v>
          </c:tx>
          <c:spPr>
            <a:ln w="19050">
              <a:noFill/>
            </a:ln>
          </c:spPr>
          <c:xVal>
            <c:numRef>
              <c:f>'0. Electricity'!$D$8:$D$22</c:f>
              <c:numCache>
                <c:formatCode>_-* #,##0_-;\-* #,##0_-;_-* "-"??_-;_-@_-</c:formatCode>
                <c:ptCount val="15"/>
                <c:pt idx="0">
                  <c:v>4265.6930000000002</c:v>
                </c:pt>
                <c:pt idx="1">
                  <c:v>4402.3239999999996</c:v>
                </c:pt>
                <c:pt idx="2">
                  <c:v>4578.6289999999999</c:v>
                </c:pt>
                <c:pt idx="3">
                  <c:v>4775.8100000000004</c:v>
                </c:pt>
                <c:pt idx="4">
                  <c:v>4966.6139999999996</c:v>
                </c:pt>
                <c:pt idx="5">
                  <c:v>5131.17</c:v>
                </c:pt>
                <c:pt idx="6">
                  <c:v>5263.64</c:v>
                </c:pt>
                <c:pt idx="7">
                  <c:v>5369.4690000000001</c:v>
                </c:pt>
                <c:pt idx="8">
                  <c:v>5453.732</c:v>
                </c:pt>
                <c:pt idx="9">
                  <c:v>5525.6279999999997</c:v>
                </c:pt>
                <c:pt idx="10">
                  <c:v>5592.143</c:v>
                </c:pt>
                <c:pt idx="11">
                  <c:v>5653.625</c:v>
                </c:pt>
                <c:pt idx="12">
                  <c:v>5708.0420000000004</c:v>
                </c:pt>
                <c:pt idx="13">
                  <c:v>5757.5029999999997</c:v>
                </c:pt>
                <c:pt idx="14">
                  <c:v>5804.3429999999998</c:v>
                </c:pt>
              </c:numCache>
            </c:numRef>
          </c:xVal>
          <c:yVal>
            <c:numRef>
              <c:f>'0. Electricity'!$C$8:$C$22</c:f>
              <c:numCache>
                <c:formatCode>_-* #,##0_-;\-* #,##0_-;_-* "-"??_-;_-@_-</c:formatCode>
                <c:ptCount val="15"/>
                <c:pt idx="0">
                  <c:v>35489.300000000003</c:v>
                </c:pt>
                <c:pt idx="1">
                  <c:v>36801.800000000003</c:v>
                </c:pt>
                <c:pt idx="2">
                  <c:v>38304.9</c:v>
                </c:pt>
                <c:pt idx="3">
                  <c:v>38986.9</c:v>
                </c:pt>
                <c:pt idx="4">
                  <c:v>38822.9</c:v>
                </c:pt>
                <c:pt idx="5">
                  <c:v>42251.7</c:v>
                </c:pt>
                <c:pt idx="6">
                  <c:v>43007.1</c:v>
                </c:pt>
                <c:pt idx="7">
                  <c:v>44200.7</c:v>
                </c:pt>
                <c:pt idx="8">
                  <c:v>44948.800000000003</c:v>
                </c:pt>
                <c:pt idx="9">
                  <c:v>46403</c:v>
                </c:pt>
                <c:pt idx="10">
                  <c:v>47513.9</c:v>
                </c:pt>
                <c:pt idx="11">
                  <c:v>48626.6</c:v>
                </c:pt>
                <c:pt idx="12">
                  <c:v>49643.7</c:v>
                </c:pt>
                <c:pt idx="13">
                  <c:v>50448.9</c:v>
                </c:pt>
                <c:pt idx="14">
                  <c:v>51720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3D-4B90-A613-1EAE88AAE3BE}"/>
            </c:ext>
          </c:extLst>
        </c:ser>
        <c:ser>
          <c:idx val="1"/>
          <c:order val="1"/>
          <c:tx>
            <c:v>Predicted Total Electricity Consumption</c:v>
          </c:tx>
          <c:spPr>
            <a:ln w="19050">
              <a:noFill/>
            </a:ln>
          </c:spPr>
          <c:xVal>
            <c:numRef>
              <c:f>'0. Electricity'!$D$8:$D$22</c:f>
              <c:numCache>
                <c:formatCode>_-* #,##0_-;\-* #,##0_-;_-* "-"??_-;_-@_-</c:formatCode>
                <c:ptCount val="15"/>
                <c:pt idx="0">
                  <c:v>4265.6930000000002</c:v>
                </c:pt>
                <c:pt idx="1">
                  <c:v>4402.3239999999996</c:v>
                </c:pt>
                <c:pt idx="2">
                  <c:v>4578.6289999999999</c:v>
                </c:pt>
                <c:pt idx="3">
                  <c:v>4775.8100000000004</c:v>
                </c:pt>
                <c:pt idx="4">
                  <c:v>4966.6139999999996</c:v>
                </c:pt>
                <c:pt idx="5">
                  <c:v>5131.17</c:v>
                </c:pt>
                <c:pt idx="6">
                  <c:v>5263.64</c:v>
                </c:pt>
                <c:pt idx="7">
                  <c:v>5369.4690000000001</c:v>
                </c:pt>
                <c:pt idx="8">
                  <c:v>5453.732</c:v>
                </c:pt>
                <c:pt idx="9">
                  <c:v>5525.6279999999997</c:v>
                </c:pt>
                <c:pt idx="10">
                  <c:v>5592.143</c:v>
                </c:pt>
                <c:pt idx="11">
                  <c:v>5653.625</c:v>
                </c:pt>
                <c:pt idx="12">
                  <c:v>5708.0420000000004</c:v>
                </c:pt>
                <c:pt idx="13">
                  <c:v>5757.5029999999997</c:v>
                </c:pt>
                <c:pt idx="14">
                  <c:v>5804.3429999999998</c:v>
                </c:pt>
              </c:numCache>
            </c:numRef>
          </c:xVal>
          <c:yVal>
            <c:numRef>
              <c:f>'0. Electricity'!$N$28:$N$42</c:f>
              <c:numCache>
                <c:formatCode>General</c:formatCode>
                <c:ptCount val="15"/>
                <c:pt idx="0">
                  <c:v>34286.803873269382</c:v>
                </c:pt>
                <c:pt idx="1">
                  <c:v>35655.398008717326</c:v>
                </c:pt>
                <c:pt idx="2">
                  <c:v>37421.395396207357</c:v>
                </c:pt>
                <c:pt idx="3">
                  <c:v>39396.501779251921</c:v>
                </c:pt>
                <c:pt idx="4">
                  <c:v>41307.73155448601</c:v>
                </c:pt>
                <c:pt idx="5">
                  <c:v>42956.04252749194</c:v>
                </c:pt>
                <c:pt idx="6">
                  <c:v>44282.957101218177</c:v>
                </c:pt>
                <c:pt idx="7">
                  <c:v>45343.01630271945</c:v>
                </c:pt>
                <c:pt idx="8">
                  <c:v>46187.05497355733</c:v>
                </c:pt>
                <c:pt idx="9">
                  <c:v>46907.216898465769</c:v>
                </c:pt>
                <c:pt idx="10">
                  <c:v>47573.478866242636</c:v>
                </c:pt>
                <c:pt idx="11">
                  <c:v>48189.326694594987</c:v>
                </c:pt>
                <c:pt idx="12">
                  <c:v>48734.406413463119</c:v>
                </c:pt>
                <c:pt idx="13">
                  <c:v>49229.843280158013</c:v>
                </c:pt>
                <c:pt idx="14">
                  <c:v>49699.026330156783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3D-4B90-A613-1EAE88AAE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5006079"/>
        <c:axId val="1685018975"/>
      </c:scatterChart>
      <c:valAx>
        <c:axId val="16850060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SG"/>
                  <a:t>Population</a:t>
                </a:r>
              </a:p>
            </c:rich>
          </c:tx>
          <c:overlay val="0"/>
        </c:title>
        <c:numFmt formatCode="_-* #,##0_-;\-* #,##0_-;_-* &quot;-&quot;??_-;_-@_-" sourceLinked="1"/>
        <c:majorTickMark val="out"/>
        <c:minorTickMark val="none"/>
        <c:tickLblPos val="nextTo"/>
        <c:crossAx val="1685018975"/>
        <c:crosses val="autoZero"/>
        <c:crossBetween val="midCat"/>
      </c:valAx>
      <c:valAx>
        <c:axId val="168501897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SG"/>
                  <a:t>Total Electricity Consumption</a:t>
                </a:r>
              </a:p>
            </c:rich>
          </c:tx>
          <c:overlay val="0"/>
        </c:title>
        <c:numFmt formatCode="_-* #,##0_-;\-* #,##0_-;_-* &quot;-&quot;??_-;_-@_-" sourceLinked="1"/>
        <c:majorTickMark val="out"/>
        <c:minorTickMark val="none"/>
        <c:tickLblPos val="nextTo"/>
        <c:crossAx val="1685006079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 sz="1200"/>
              <a:t>Historical and Forecast Electricity Consumption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'0. Electricity'!$C$7</c:f>
              <c:strCache>
                <c:ptCount val="1"/>
                <c:pt idx="0">
                  <c:v>Total Electricity 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'0. Electricity'!$B$8:$B$53</c:f>
              <c:numCache>
                <c:formatCode>General</c:formatCode>
                <c:ptCount val="46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  <c:pt idx="13">
                  <c:v>2018</c:v>
                </c:pt>
                <c:pt idx="14">
                  <c:v>2019</c:v>
                </c:pt>
                <c:pt idx="15">
                  <c:v>2020</c:v>
                </c:pt>
                <c:pt idx="16">
                  <c:v>2021</c:v>
                </c:pt>
                <c:pt idx="17">
                  <c:v>2022</c:v>
                </c:pt>
                <c:pt idx="18">
                  <c:v>2023</c:v>
                </c:pt>
                <c:pt idx="19">
                  <c:v>2024</c:v>
                </c:pt>
                <c:pt idx="20">
                  <c:v>2025</c:v>
                </c:pt>
                <c:pt idx="21">
                  <c:v>2026</c:v>
                </c:pt>
                <c:pt idx="22">
                  <c:v>2027</c:v>
                </c:pt>
                <c:pt idx="23">
                  <c:v>2028</c:v>
                </c:pt>
                <c:pt idx="24">
                  <c:v>2029</c:v>
                </c:pt>
                <c:pt idx="25">
                  <c:v>2030</c:v>
                </c:pt>
                <c:pt idx="26">
                  <c:v>2031</c:v>
                </c:pt>
                <c:pt idx="27">
                  <c:v>2032</c:v>
                </c:pt>
                <c:pt idx="28">
                  <c:v>2033</c:v>
                </c:pt>
                <c:pt idx="29">
                  <c:v>2034</c:v>
                </c:pt>
                <c:pt idx="30">
                  <c:v>2035</c:v>
                </c:pt>
                <c:pt idx="31">
                  <c:v>2036</c:v>
                </c:pt>
                <c:pt idx="32">
                  <c:v>2037</c:v>
                </c:pt>
                <c:pt idx="33">
                  <c:v>2038</c:v>
                </c:pt>
                <c:pt idx="34">
                  <c:v>2039</c:v>
                </c:pt>
                <c:pt idx="35">
                  <c:v>2040</c:v>
                </c:pt>
                <c:pt idx="36">
                  <c:v>2041</c:v>
                </c:pt>
                <c:pt idx="37">
                  <c:v>2042</c:v>
                </c:pt>
                <c:pt idx="38">
                  <c:v>2043</c:v>
                </c:pt>
                <c:pt idx="39">
                  <c:v>2044</c:v>
                </c:pt>
                <c:pt idx="40">
                  <c:v>2045</c:v>
                </c:pt>
                <c:pt idx="41">
                  <c:v>2046</c:v>
                </c:pt>
                <c:pt idx="42">
                  <c:v>2047</c:v>
                </c:pt>
                <c:pt idx="43">
                  <c:v>2048</c:v>
                </c:pt>
                <c:pt idx="44">
                  <c:v>2049</c:v>
                </c:pt>
                <c:pt idx="45">
                  <c:v>2050</c:v>
                </c:pt>
              </c:numCache>
            </c:numRef>
          </c:cat>
          <c:val>
            <c:numRef>
              <c:f>'0. Electricity'!$C$8:$C$53</c:f>
              <c:numCache>
                <c:formatCode>_-* #,##0_-;\-* #,##0_-;_-* "-"??_-;_-@_-</c:formatCode>
                <c:ptCount val="46"/>
                <c:pt idx="0">
                  <c:v>35489.300000000003</c:v>
                </c:pt>
                <c:pt idx="1">
                  <c:v>36801.800000000003</c:v>
                </c:pt>
                <c:pt idx="2">
                  <c:v>38304.9</c:v>
                </c:pt>
                <c:pt idx="3">
                  <c:v>38986.9</c:v>
                </c:pt>
                <c:pt idx="4">
                  <c:v>38822.9</c:v>
                </c:pt>
                <c:pt idx="5">
                  <c:v>42251.7</c:v>
                </c:pt>
                <c:pt idx="6">
                  <c:v>43007.1</c:v>
                </c:pt>
                <c:pt idx="7">
                  <c:v>44200.7</c:v>
                </c:pt>
                <c:pt idx="8">
                  <c:v>44948.800000000003</c:v>
                </c:pt>
                <c:pt idx="9">
                  <c:v>46403</c:v>
                </c:pt>
                <c:pt idx="10">
                  <c:v>47513.9</c:v>
                </c:pt>
                <c:pt idx="11">
                  <c:v>48626.6</c:v>
                </c:pt>
                <c:pt idx="12">
                  <c:v>49643.7</c:v>
                </c:pt>
                <c:pt idx="13">
                  <c:v>50448.9</c:v>
                </c:pt>
                <c:pt idx="14">
                  <c:v>51720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C2-47F7-8C18-EC4AE7208B1A}"/>
            </c:ext>
          </c:extLst>
        </c:ser>
        <c:ser>
          <c:idx val="0"/>
          <c:order val="1"/>
          <c:tx>
            <c:strRef>
              <c:f>'0. Electricity'!$J$7</c:f>
              <c:strCache>
                <c:ptCount val="1"/>
                <c:pt idx="0">
                  <c:v>Forecast Electricity Consumption - Low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'0. Electricity'!$B$8:$B$53</c:f>
              <c:numCache>
                <c:formatCode>General</c:formatCode>
                <c:ptCount val="46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  <c:pt idx="13">
                  <c:v>2018</c:v>
                </c:pt>
                <c:pt idx="14">
                  <c:v>2019</c:v>
                </c:pt>
                <c:pt idx="15">
                  <c:v>2020</c:v>
                </c:pt>
                <c:pt idx="16">
                  <c:v>2021</c:v>
                </c:pt>
                <c:pt idx="17">
                  <c:v>2022</c:v>
                </c:pt>
                <c:pt idx="18">
                  <c:v>2023</c:v>
                </c:pt>
                <c:pt idx="19">
                  <c:v>2024</c:v>
                </c:pt>
                <c:pt idx="20">
                  <c:v>2025</c:v>
                </c:pt>
                <c:pt idx="21">
                  <c:v>2026</c:v>
                </c:pt>
                <c:pt idx="22">
                  <c:v>2027</c:v>
                </c:pt>
                <c:pt idx="23">
                  <c:v>2028</c:v>
                </c:pt>
                <c:pt idx="24">
                  <c:v>2029</c:v>
                </c:pt>
                <c:pt idx="25">
                  <c:v>2030</c:v>
                </c:pt>
                <c:pt idx="26">
                  <c:v>2031</c:v>
                </c:pt>
                <c:pt idx="27">
                  <c:v>2032</c:v>
                </c:pt>
                <c:pt idx="28">
                  <c:v>2033</c:v>
                </c:pt>
                <c:pt idx="29">
                  <c:v>2034</c:v>
                </c:pt>
                <c:pt idx="30">
                  <c:v>2035</c:v>
                </c:pt>
                <c:pt idx="31">
                  <c:v>2036</c:v>
                </c:pt>
                <c:pt idx="32">
                  <c:v>2037</c:v>
                </c:pt>
                <c:pt idx="33">
                  <c:v>2038</c:v>
                </c:pt>
                <c:pt idx="34">
                  <c:v>2039</c:v>
                </c:pt>
                <c:pt idx="35">
                  <c:v>2040</c:v>
                </c:pt>
                <c:pt idx="36">
                  <c:v>2041</c:v>
                </c:pt>
                <c:pt idx="37">
                  <c:v>2042</c:v>
                </c:pt>
                <c:pt idx="38">
                  <c:v>2043</c:v>
                </c:pt>
                <c:pt idx="39">
                  <c:v>2044</c:v>
                </c:pt>
                <c:pt idx="40">
                  <c:v>2045</c:v>
                </c:pt>
                <c:pt idx="41">
                  <c:v>2046</c:v>
                </c:pt>
                <c:pt idx="42">
                  <c:v>2047</c:v>
                </c:pt>
                <c:pt idx="43">
                  <c:v>2048</c:v>
                </c:pt>
                <c:pt idx="44">
                  <c:v>2049</c:v>
                </c:pt>
                <c:pt idx="45">
                  <c:v>2050</c:v>
                </c:pt>
              </c:numCache>
            </c:numRef>
          </c:cat>
          <c:val>
            <c:numRef>
              <c:f>'0. Electricity'!$J$8:$J$53</c:f>
              <c:numCache>
                <c:formatCode>_-* #,##0_-;\-* #,##0_-;_-* "-"??_-;_-@_-</c:formatCode>
                <c:ptCount val="46"/>
                <c:pt idx="14">
                  <c:v>51720</c:v>
                </c:pt>
                <c:pt idx="15">
                  <c:v>50159.795337414325</c:v>
                </c:pt>
                <c:pt idx="16">
                  <c:v>50575.629349746712</c:v>
                </c:pt>
                <c:pt idx="17">
                  <c:v>50961.272975386179</c:v>
                </c:pt>
                <c:pt idx="18">
                  <c:v>51318.178638377343</c:v>
                </c:pt>
                <c:pt idx="19">
                  <c:v>51647.05752566619</c:v>
                </c:pt>
                <c:pt idx="20">
                  <c:v>51948.260222366931</c:v>
                </c:pt>
                <c:pt idx="21">
                  <c:v>52222.267530921941</c:v>
                </c:pt>
                <c:pt idx="22">
                  <c:v>52468.548565301091</c:v>
                </c:pt>
                <c:pt idx="23">
                  <c:v>52686.832874130581</c:v>
                </c:pt>
                <c:pt idx="24">
                  <c:v>52876.349170159119</c:v>
                </c:pt>
                <c:pt idx="25">
                  <c:v>53036.416316593371</c:v>
                </c:pt>
                <c:pt idx="26">
                  <c:v>53167.094413738632</c:v>
                </c:pt>
                <c:pt idx="27">
                  <c:v>53269.134715411077</c:v>
                </c:pt>
                <c:pt idx="28">
                  <c:v>53344.380297639749</c:v>
                </c:pt>
                <c:pt idx="29">
                  <c:v>53395.145022178469</c:v>
                </c:pt>
                <c:pt idx="30">
                  <c:v>53422.971463529808</c:v>
                </c:pt>
                <c:pt idx="31">
                  <c:v>53429.221895280425</c:v>
                </c:pt>
                <c:pt idx="32">
                  <c:v>53413.625866056514</c:v>
                </c:pt>
                <c:pt idx="33">
                  <c:v>53375.932957919344</c:v>
                </c:pt>
                <c:pt idx="34">
                  <c:v>53315.251683007031</c:v>
                </c:pt>
                <c:pt idx="35">
                  <c:v>53231.201406052722</c:v>
                </c:pt>
                <c:pt idx="36">
                  <c:v>53124.292979651422</c:v>
                </c:pt>
                <c:pt idx="37">
                  <c:v>52995.247607466663</c:v>
                </c:pt>
                <c:pt idx="38">
                  <c:v>52844.956777360312</c:v>
                </c:pt>
                <c:pt idx="39">
                  <c:v>52674.34202734688</c:v>
                </c:pt>
                <c:pt idx="40">
                  <c:v>52484.33491215844</c:v>
                </c:pt>
                <c:pt idx="41">
                  <c:v>52275.786852786659</c:v>
                </c:pt>
                <c:pt idx="42">
                  <c:v>52049.378986024865</c:v>
                </c:pt>
                <c:pt idx="43">
                  <c:v>51805.862565689262</c:v>
                </c:pt>
                <c:pt idx="44">
                  <c:v>51546.169146511886</c:v>
                </c:pt>
                <c:pt idx="45">
                  <c:v>51271.130116049331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1C2-47F7-8C18-EC4AE7208B1A}"/>
            </c:ext>
          </c:extLst>
        </c:ser>
        <c:ser>
          <c:idx val="3"/>
          <c:order val="2"/>
          <c:tx>
            <c:strRef>
              <c:f>'0. Electricity'!$I$7</c:f>
              <c:strCache>
                <c:ptCount val="1"/>
                <c:pt idx="0">
                  <c:v>Forecast Electricity Consumption - Base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'0. Electricity'!$B$8:$B$53</c:f>
              <c:numCache>
                <c:formatCode>General</c:formatCode>
                <c:ptCount val="46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  <c:pt idx="13">
                  <c:v>2018</c:v>
                </c:pt>
                <c:pt idx="14">
                  <c:v>2019</c:v>
                </c:pt>
                <c:pt idx="15">
                  <c:v>2020</c:v>
                </c:pt>
                <c:pt idx="16">
                  <c:v>2021</c:v>
                </c:pt>
                <c:pt idx="17">
                  <c:v>2022</c:v>
                </c:pt>
                <c:pt idx="18">
                  <c:v>2023</c:v>
                </c:pt>
                <c:pt idx="19">
                  <c:v>2024</c:v>
                </c:pt>
                <c:pt idx="20">
                  <c:v>2025</c:v>
                </c:pt>
                <c:pt idx="21">
                  <c:v>2026</c:v>
                </c:pt>
                <c:pt idx="22">
                  <c:v>2027</c:v>
                </c:pt>
                <c:pt idx="23">
                  <c:v>2028</c:v>
                </c:pt>
                <c:pt idx="24">
                  <c:v>2029</c:v>
                </c:pt>
                <c:pt idx="25">
                  <c:v>2030</c:v>
                </c:pt>
                <c:pt idx="26">
                  <c:v>2031</c:v>
                </c:pt>
                <c:pt idx="27">
                  <c:v>2032</c:v>
                </c:pt>
                <c:pt idx="28">
                  <c:v>2033</c:v>
                </c:pt>
                <c:pt idx="29">
                  <c:v>2034</c:v>
                </c:pt>
                <c:pt idx="30">
                  <c:v>2035</c:v>
                </c:pt>
                <c:pt idx="31">
                  <c:v>2036</c:v>
                </c:pt>
                <c:pt idx="32">
                  <c:v>2037</c:v>
                </c:pt>
                <c:pt idx="33">
                  <c:v>2038</c:v>
                </c:pt>
                <c:pt idx="34">
                  <c:v>2039</c:v>
                </c:pt>
                <c:pt idx="35">
                  <c:v>2040</c:v>
                </c:pt>
                <c:pt idx="36">
                  <c:v>2041</c:v>
                </c:pt>
                <c:pt idx="37">
                  <c:v>2042</c:v>
                </c:pt>
                <c:pt idx="38">
                  <c:v>2043</c:v>
                </c:pt>
                <c:pt idx="39">
                  <c:v>2044</c:v>
                </c:pt>
                <c:pt idx="40">
                  <c:v>2045</c:v>
                </c:pt>
                <c:pt idx="41">
                  <c:v>2046</c:v>
                </c:pt>
                <c:pt idx="42">
                  <c:v>2047</c:v>
                </c:pt>
                <c:pt idx="43">
                  <c:v>2048</c:v>
                </c:pt>
                <c:pt idx="44">
                  <c:v>2049</c:v>
                </c:pt>
                <c:pt idx="45">
                  <c:v>2050</c:v>
                </c:pt>
              </c:numCache>
            </c:numRef>
          </c:cat>
          <c:val>
            <c:numRef>
              <c:f>'0. Electricity'!$I$8:$I$53</c:f>
              <c:numCache>
                <c:formatCode>_-* #,##0_-;\-* #,##0_-;_-* "-"??_-;_-@_-</c:formatCode>
                <c:ptCount val="46"/>
                <c:pt idx="14">
                  <c:v>51720</c:v>
                </c:pt>
                <c:pt idx="15">
                  <c:v>50159.795337414325</c:v>
                </c:pt>
                <c:pt idx="16">
                  <c:v>50623.980045356111</c:v>
                </c:pt>
                <c:pt idx="17">
                  <c:v>51093.433546728709</c:v>
                </c:pt>
                <c:pt idx="18">
                  <c:v>51561.624941690119</c:v>
                </c:pt>
                <c:pt idx="19">
                  <c:v>52016.213634219879</c:v>
                </c:pt>
                <c:pt idx="20">
                  <c:v>52447.783909821861</c:v>
                </c:pt>
                <c:pt idx="21">
                  <c:v>52856.726420480481</c:v>
                </c:pt>
                <c:pt idx="22">
                  <c:v>53246.847518864386</c:v>
                </c:pt>
                <c:pt idx="23">
                  <c:v>53616.564563600819</c:v>
                </c:pt>
                <c:pt idx="24">
                  <c:v>53964.034478660746</c:v>
                </c:pt>
                <c:pt idx="25">
                  <c:v>54287.905007175061</c:v>
                </c:pt>
                <c:pt idx="26">
                  <c:v>54587.384828457369</c:v>
                </c:pt>
                <c:pt idx="27">
                  <c:v>54861.90298960737</c:v>
                </c:pt>
                <c:pt idx="28">
                  <c:v>55110.888537724779</c:v>
                </c:pt>
                <c:pt idx="29">
                  <c:v>55333.680369451358</c:v>
                </c:pt>
                <c:pt idx="30">
                  <c:v>55529.867799367574</c:v>
                </c:pt>
                <c:pt idx="31">
                  <c:v>55699.55099464894</c:v>
                </c:pt>
                <c:pt idx="32">
                  <c:v>55842.800072318285</c:v>
                </c:pt>
                <c:pt idx="33">
                  <c:v>55960.155935123279</c:v>
                </c:pt>
                <c:pt idx="34">
                  <c:v>56052.670338406555</c:v>
                </c:pt>
                <c:pt idx="35">
                  <c:v>56121.204719877336</c:v>
                </c:pt>
                <c:pt idx="36">
                  <c:v>56166.420182893868</c:v>
                </c:pt>
                <c:pt idx="37">
                  <c:v>56189.128081577634</c:v>
                </c:pt>
                <c:pt idx="38">
                  <c:v>56190.760806538128</c:v>
                </c:pt>
                <c:pt idx="39">
                  <c:v>56173.191483957045</c:v>
                </c:pt>
                <c:pt idx="40">
                  <c:v>56138.092905665086</c:v>
                </c:pt>
                <c:pt idx="41">
                  <c:v>56086.506810287334</c:v>
                </c:pt>
                <c:pt idx="42">
                  <c:v>56019.314668968123</c:v>
                </c:pt>
                <c:pt idx="43">
                  <c:v>55938.51982521727</c:v>
                </c:pt>
                <c:pt idx="44">
                  <c:v>55845.164017659867</c:v>
                </c:pt>
                <c:pt idx="45">
                  <c:v>55740.960104996826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1C2-47F7-8C18-EC4AE7208B1A}"/>
            </c:ext>
          </c:extLst>
        </c:ser>
        <c:ser>
          <c:idx val="4"/>
          <c:order val="3"/>
          <c:tx>
            <c:strRef>
              <c:f>'0. Electricity'!$K$7</c:f>
              <c:strCache>
                <c:ptCount val="1"/>
                <c:pt idx="0">
                  <c:v>Forecast Electricity Consumption - High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'0. Electricity'!$B$8:$B$53</c:f>
              <c:numCache>
                <c:formatCode>General</c:formatCode>
                <c:ptCount val="46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  <c:pt idx="13">
                  <c:v>2018</c:v>
                </c:pt>
                <c:pt idx="14">
                  <c:v>2019</c:v>
                </c:pt>
                <c:pt idx="15">
                  <c:v>2020</c:v>
                </c:pt>
                <c:pt idx="16">
                  <c:v>2021</c:v>
                </c:pt>
                <c:pt idx="17">
                  <c:v>2022</c:v>
                </c:pt>
                <c:pt idx="18">
                  <c:v>2023</c:v>
                </c:pt>
                <c:pt idx="19">
                  <c:v>2024</c:v>
                </c:pt>
                <c:pt idx="20">
                  <c:v>2025</c:v>
                </c:pt>
                <c:pt idx="21">
                  <c:v>2026</c:v>
                </c:pt>
                <c:pt idx="22">
                  <c:v>2027</c:v>
                </c:pt>
                <c:pt idx="23">
                  <c:v>2028</c:v>
                </c:pt>
                <c:pt idx="24">
                  <c:v>2029</c:v>
                </c:pt>
                <c:pt idx="25">
                  <c:v>2030</c:v>
                </c:pt>
                <c:pt idx="26">
                  <c:v>2031</c:v>
                </c:pt>
                <c:pt idx="27">
                  <c:v>2032</c:v>
                </c:pt>
                <c:pt idx="28">
                  <c:v>2033</c:v>
                </c:pt>
                <c:pt idx="29">
                  <c:v>2034</c:v>
                </c:pt>
                <c:pt idx="30">
                  <c:v>2035</c:v>
                </c:pt>
                <c:pt idx="31">
                  <c:v>2036</c:v>
                </c:pt>
                <c:pt idx="32">
                  <c:v>2037</c:v>
                </c:pt>
                <c:pt idx="33">
                  <c:v>2038</c:v>
                </c:pt>
                <c:pt idx="34">
                  <c:v>2039</c:v>
                </c:pt>
                <c:pt idx="35">
                  <c:v>2040</c:v>
                </c:pt>
                <c:pt idx="36">
                  <c:v>2041</c:v>
                </c:pt>
                <c:pt idx="37">
                  <c:v>2042</c:v>
                </c:pt>
                <c:pt idx="38">
                  <c:v>2043</c:v>
                </c:pt>
                <c:pt idx="39">
                  <c:v>2044</c:v>
                </c:pt>
                <c:pt idx="40">
                  <c:v>2045</c:v>
                </c:pt>
                <c:pt idx="41">
                  <c:v>2046</c:v>
                </c:pt>
                <c:pt idx="42">
                  <c:v>2047</c:v>
                </c:pt>
                <c:pt idx="43">
                  <c:v>2048</c:v>
                </c:pt>
                <c:pt idx="44">
                  <c:v>2049</c:v>
                </c:pt>
                <c:pt idx="45">
                  <c:v>2050</c:v>
                </c:pt>
              </c:numCache>
            </c:numRef>
          </c:cat>
          <c:val>
            <c:numRef>
              <c:f>'0. Electricity'!$K$8:$K$53</c:f>
              <c:numCache>
                <c:formatCode>_-* #,##0_-;\-* #,##0_-;_-* "-"??_-;_-@_-</c:formatCode>
                <c:ptCount val="46"/>
                <c:pt idx="14">
                  <c:v>51720</c:v>
                </c:pt>
                <c:pt idx="15">
                  <c:v>50159.795337414325</c:v>
                </c:pt>
                <c:pt idx="16">
                  <c:v>50707.960205287571</c:v>
                </c:pt>
                <c:pt idx="17">
                  <c:v>51266.452308953907</c:v>
                </c:pt>
                <c:pt idx="18">
                  <c:v>51829.512035822627</c:v>
                </c:pt>
                <c:pt idx="19">
                  <c:v>52391.289622845063</c:v>
                </c:pt>
                <c:pt idx="20">
                  <c:v>52947.347664146975</c:v>
                </c:pt>
                <c:pt idx="21">
                  <c:v>53494.040074540513</c:v>
                </c:pt>
                <c:pt idx="22">
                  <c:v>54028.431955783766</c:v>
                </c:pt>
                <c:pt idx="23">
                  <c:v>54548.389747038811</c:v>
                </c:pt>
                <c:pt idx="24">
                  <c:v>55052.511107848753</c:v>
                </c:pt>
                <c:pt idx="25">
                  <c:v>55539.423747909394</c:v>
                </c:pt>
                <c:pt idx="26">
                  <c:v>56007.595109435708</c:v>
                </c:pt>
                <c:pt idx="27">
                  <c:v>56454.621180215916</c:v>
                </c:pt>
                <c:pt idx="28">
                  <c:v>56877.45687811511</c:v>
                </c:pt>
                <c:pt idx="29">
                  <c:v>57272.225733441781</c:v>
                </c:pt>
                <c:pt idx="30">
                  <c:v>57636.84426894573</c:v>
                </c:pt>
                <c:pt idx="31">
                  <c:v>57970.000294628044</c:v>
                </c:pt>
                <c:pt idx="32">
                  <c:v>58272.184629648589</c:v>
                </c:pt>
                <c:pt idx="33">
                  <c:v>58545.130166143397</c:v>
                </c:pt>
                <c:pt idx="34">
                  <c:v>58791.301016629513</c:v>
                </c:pt>
                <c:pt idx="35">
                  <c:v>59012.940925837946</c:v>
                </c:pt>
                <c:pt idx="36">
                  <c:v>59211.24188315701</c:v>
                </c:pt>
                <c:pt idx="37">
                  <c:v>59387.125426601269</c:v>
                </c:pt>
                <c:pt idx="38">
                  <c:v>59543.306086626471</c:v>
                </c:pt>
                <c:pt idx="39">
                  <c:v>59682.358159642754</c:v>
                </c:pt>
                <c:pt idx="40">
                  <c:v>59807.326727785039</c:v>
                </c:pt>
                <c:pt idx="41">
                  <c:v>59919.724315403248</c:v>
                </c:pt>
                <c:pt idx="42">
                  <c:v>60021.404015243927</c:v>
                </c:pt>
                <c:pt idx="43">
                  <c:v>60115.110407915534</c:v>
                </c:pt>
                <c:pt idx="44">
                  <c:v>60203.808441812609</c:v>
                </c:pt>
                <c:pt idx="45">
                  <c:v>60290.252714261151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1C2-47F7-8C18-EC4AE7208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6302607"/>
        <c:axId val="956287215"/>
      </c:lineChart>
      <c:catAx>
        <c:axId val="956302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287215"/>
        <c:crosses val="autoZero"/>
        <c:auto val="1"/>
        <c:lblAlgn val="ctr"/>
        <c:lblOffset val="100"/>
        <c:noMultiLvlLbl val="0"/>
      </c:catAx>
      <c:valAx>
        <c:axId val="956287215"/>
        <c:scaling>
          <c:orientation val="minMax"/>
          <c:min val="3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302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 sz="1200"/>
              <a:t>Historical &amp;</a:t>
            </a:r>
            <a:r>
              <a:rPr lang="en-SG" sz="1200" baseline="0"/>
              <a:t> </a:t>
            </a:r>
            <a:r>
              <a:rPr lang="en-SG" sz="1200"/>
              <a:t>Forecast Solar Capacity Growth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'1. Power'!$E$7</c:f>
              <c:strCache>
                <c:ptCount val="1"/>
                <c:pt idx="0">
                  <c:v>Solar Capacity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'1. Power'!$B$11:$B$53</c:f>
              <c:numCache>
                <c:formatCode>General</c:formatCode>
                <c:ptCount val="43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  <c:pt idx="11">
                  <c:v>2019</c:v>
                </c:pt>
                <c:pt idx="12">
                  <c:v>2020</c:v>
                </c:pt>
                <c:pt idx="13">
                  <c:v>2021</c:v>
                </c:pt>
                <c:pt idx="14">
                  <c:v>2022</c:v>
                </c:pt>
                <c:pt idx="15">
                  <c:v>2023</c:v>
                </c:pt>
                <c:pt idx="16">
                  <c:v>2024</c:v>
                </c:pt>
                <c:pt idx="17">
                  <c:v>2025</c:v>
                </c:pt>
                <c:pt idx="18">
                  <c:v>2026</c:v>
                </c:pt>
                <c:pt idx="19">
                  <c:v>2027</c:v>
                </c:pt>
                <c:pt idx="20">
                  <c:v>2028</c:v>
                </c:pt>
                <c:pt idx="21">
                  <c:v>2029</c:v>
                </c:pt>
                <c:pt idx="22">
                  <c:v>2030</c:v>
                </c:pt>
                <c:pt idx="23">
                  <c:v>2031</c:v>
                </c:pt>
                <c:pt idx="24">
                  <c:v>2032</c:v>
                </c:pt>
                <c:pt idx="25">
                  <c:v>2033</c:v>
                </c:pt>
                <c:pt idx="26">
                  <c:v>2034</c:v>
                </c:pt>
                <c:pt idx="27">
                  <c:v>2035</c:v>
                </c:pt>
                <c:pt idx="28">
                  <c:v>2036</c:v>
                </c:pt>
                <c:pt idx="29">
                  <c:v>2037</c:v>
                </c:pt>
                <c:pt idx="30">
                  <c:v>2038</c:v>
                </c:pt>
                <c:pt idx="31">
                  <c:v>2039</c:v>
                </c:pt>
                <c:pt idx="32">
                  <c:v>2040</c:v>
                </c:pt>
                <c:pt idx="33">
                  <c:v>2041</c:v>
                </c:pt>
                <c:pt idx="34">
                  <c:v>2042</c:v>
                </c:pt>
                <c:pt idx="35">
                  <c:v>2043</c:v>
                </c:pt>
                <c:pt idx="36">
                  <c:v>2044</c:v>
                </c:pt>
                <c:pt idx="37">
                  <c:v>2045</c:v>
                </c:pt>
                <c:pt idx="38">
                  <c:v>2046</c:v>
                </c:pt>
                <c:pt idx="39">
                  <c:v>2047</c:v>
                </c:pt>
                <c:pt idx="40">
                  <c:v>2048</c:v>
                </c:pt>
                <c:pt idx="41">
                  <c:v>2049</c:v>
                </c:pt>
                <c:pt idx="42">
                  <c:v>2050</c:v>
                </c:pt>
              </c:numCache>
            </c:numRef>
          </c:cat>
          <c:val>
            <c:numRef>
              <c:f>'1. Power'!$E$11:$E$53</c:f>
              <c:numCache>
                <c:formatCode>_(* #,##0.00_);_(* \(#,##0.00\);_(* "-"??_);_(@_)</c:formatCode>
                <c:ptCount val="43"/>
                <c:pt idx="0">
                  <c:v>0.361925</c:v>
                </c:pt>
                <c:pt idx="1">
                  <c:v>1.9425240000000004</c:v>
                </c:pt>
                <c:pt idx="2">
                  <c:v>3.7991090000000005</c:v>
                </c:pt>
                <c:pt idx="3">
                  <c:v>5.9288274000000003</c:v>
                </c:pt>
                <c:pt idx="4">
                  <c:v>10.060113400000002</c:v>
                </c:pt>
                <c:pt idx="5">
                  <c:v>15.267622400000002</c:v>
                </c:pt>
                <c:pt idx="6">
                  <c:v>32.8934104</c:v>
                </c:pt>
                <c:pt idx="7">
                  <c:v>59.333113399999995</c:v>
                </c:pt>
                <c:pt idx="8">
                  <c:v>125.51162239999996</c:v>
                </c:pt>
                <c:pt idx="9">
                  <c:v>153.12009839999996</c:v>
                </c:pt>
                <c:pt idx="10">
                  <c:v>208.20295339999998</c:v>
                </c:pt>
                <c:pt idx="11">
                  <c:v>353.11555039999996</c:v>
                </c:pt>
                <c:pt idx="12">
                  <c:v>427.61822740000002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2A-404B-A69E-ABDA9C93A8AC}"/>
            </c:ext>
          </c:extLst>
        </c:ser>
        <c:ser>
          <c:idx val="1"/>
          <c:order val="1"/>
          <c:tx>
            <c:strRef>
              <c:f>'1. Power'!$G$7</c:f>
              <c:strCache>
                <c:ptCount val="1"/>
                <c:pt idx="0">
                  <c:v>Interpolated Solar capacity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'1. Power'!$B$11:$B$53</c:f>
              <c:numCache>
                <c:formatCode>General</c:formatCode>
                <c:ptCount val="43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  <c:pt idx="11">
                  <c:v>2019</c:v>
                </c:pt>
                <c:pt idx="12">
                  <c:v>2020</c:v>
                </c:pt>
                <c:pt idx="13">
                  <c:v>2021</c:v>
                </c:pt>
                <c:pt idx="14">
                  <c:v>2022</c:v>
                </c:pt>
                <c:pt idx="15">
                  <c:v>2023</c:v>
                </c:pt>
                <c:pt idx="16">
                  <c:v>2024</c:v>
                </c:pt>
                <c:pt idx="17">
                  <c:v>2025</c:v>
                </c:pt>
                <c:pt idx="18">
                  <c:v>2026</c:v>
                </c:pt>
                <c:pt idx="19">
                  <c:v>2027</c:v>
                </c:pt>
                <c:pt idx="20">
                  <c:v>2028</c:v>
                </c:pt>
                <c:pt idx="21">
                  <c:v>2029</c:v>
                </c:pt>
                <c:pt idx="22">
                  <c:v>2030</c:v>
                </c:pt>
                <c:pt idx="23">
                  <c:v>2031</c:v>
                </c:pt>
                <c:pt idx="24">
                  <c:v>2032</c:v>
                </c:pt>
                <c:pt idx="25">
                  <c:v>2033</c:v>
                </c:pt>
                <c:pt idx="26">
                  <c:v>2034</c:v>
                </c:pt>
                <c:pt idx="27">
                  <c:v>2035</c:v>
                </c:pt>
                <c:pt idx="28">
                  <c:v>2036</c:v>
                </c:pt>
                <c:pt idx="29">
                  <c:v>2037</c:v>
                </c:pt>
                <c:pt idx="30">
                  <c:v>2038</c:v>
                </c:pt>
                <c:pt idx="31">
                  <c:v>2039</c:v>
                </c:pt>
                <c:pt idx="32">
                  <c:v>2040</c:v>
                </c:pt>
                <c:pt idx="33">
                  <c:v>2041</c:v>
                </c:pt>
                <c:pt idx="34">
                  <c:v>2042</c:v>
                </c:pt>
                <c:pt idx="35">
                  <c:v>2043</c:v>
                </c:pt>
                <c:pt idx="36">
                  <c:v>2044</c:v>
                </c:pt>
                <c:pt idx="37">
                  <c:v>2045</c:v>
                </c:pt>
                <c:pt idx="38">
                  <c:v>2046</c:v>
                </c:pt>
                <c:pt idx="39">
                  <c:v>2047</c:v>
                </c:pt>
                <c:pt idx="40">
                  <c:v>2048</c:v>
                </c:pt>
                <c:pt idx="41">
                  <c:v>2049</c:v>
                </c:pt>
                <c:pt idx="42">
                  <c:v>2050</c:v>
                </c:pt>
              </c:numCache>
            </c:numRef>
          </c:cat>
          <c:val>
            <c:numRef>
              <c:f>'1. Power'!$G$11:$G$53</c:f>
              <c:numCache>
                <c:formatCode>General</c:formatCode>
                <c:ptCount val="43"/>
                <c:pt idx="12" formatCode="_(* #,##0.00_);_(* \(#,##0.00\);_(* &quot;-&quot;??_);_(@_)">
                  <c:v>427.61822740000002</c:v>
                </c:pt>
                <c:pt idx="13" formatCode="_(* #,##0.00_);_(* \(#,##0.00\);_(* &quot;-&quot;??_);_(@_)">
                  <c:v>584.85640465999995</c:v>
                </c:pt>
                <c:pt idx="14" formatCode="_(* #,##0.00_);_(* \(#,##0.00\);_(* &quot;-&quot;??_);_(@_)">
                  <c:v>742.09458191999988</c:v>
                </c:pt>
                <c:pt idx="15" formatCode="_(* #,##0.00_);_(* \(#,##0.00\);_(* &quot;-&quot;??_);_(@_)">
                  <c:v>899.33275917999981</c:v>
                </c:pt>
                <c:pt idx="16" formatCode="_(* #,##0.00_);_(* \(#,##0.00\);_(* &quot;-&quot;??_);_(@_)">
                  <c:v>1056.5709364399997</c:v>
                </c:pt>
                <c:pt idx="17" formatCode="_(* #,##0.00_);_(* \(#,##0.00\);_(* &quot;-&quot;??_);_(@_)">
                  <c:v>1213.8091136999997</c:v>
                </c:pt>
                <c:pt idx="18" formatCode="_(* #,##0.00_);_(* \(#,##0.00\);_(* &quot;-&quot;??_);_(@_)">
                  <c:v>1371.0472909599996</c:v>
                </c:pt>
                <c:pt idx="19" formatCode="_(* #,##0.00_);_(* \(#,##0.00\);_(* &quot;-&quot;??_);_(@_)">
                  <c:v>1528.2854682199995</c:v>
                </c:pt>
                <c:pt idx="20" formatCode="_(* #,##0.00_);_(* \(#,##0.00\);_(* &quot;-&quot;??_);_(@_)">
                  <c:v>1685.5236454799995</c:v>
                </c:pt>
                <c:pt idx="21" formatCode="_(* #,##0.00_);_(* \(#,##0.00\);_(* &quot;-&quot;??_);_(@_)">
                  <c:v>1842.7618227399994</c:v>
                </c:pt>
                <c:pt idx="22" formatCode="_(* #,##0.00_);_(* \(#,##0.00\);_(* &quot;-&quot;??_);_(@_)">
                  <c:v>1999.9999999999993</c:v>
                </c:pt>
                <c:pt idx="23" formatCode="_(* #,##0.00_);_(* \(#,##0.00\);_(* &quot;-&quot;??_);_(@_)">
                  <c:v>2157.2381772599992</c:v>
                </c:pt>
                <c:pt idx="24" formatCode="_(* #,##0.00_);_(* \(#,##0.00\);_(* &quot;-&quot;??_);_(@_)">
                  <c:v>2314.4763545199994</c:v>
                </c:pt>
                <c:pt idx="25" formatCode="_(* #,##0.00_);_(* \(#,##0.00\);_(* &quot;-&quot;??_);_(@_)">
                  <c:v>2471.7145317799996</c:v>
                </c:pt>
                <c:pt idx="26" formatCode="_(* #,##0.00_);_(* \(#,##0.00\);_(* &quot;-&quot;??_);_(@_)">
                  <c:v>2628.9527090399997</c:v>
                </c:pt>
                <c:pt idx="27" formatCode="_(* #,##0.00_);_(* \(#,##0.00\);_(* &quot;-&quot;??_);_(@_)">
                  <c:v>2786.1908862999999</c:v>
                </c:pt>
                <c:pt idx="28" formatCode="_(* #,##0.00_);_(* \(#,##0.00\);_(* &quot;-&quot;??_);_(@_)">
                  <c:v>2943.42906356</c:v>
                </c:pt>
                <c:pt idx="29" formatCode="_(* #,##0.00_);_(* \(#,##0.00\);_(* &quot;-&quot;??_);_(@_)">
                  <c:v>3100.6672408200002</c:v>
                </c:pt>
                <c:pt idx="30" formatCode="_(* #,##0.00_);_(* \(#,##0.00\);_(* &quot;-&quot;??_);_(@_)">
                  <c:v>3257.9054180800003</c:v>
                </c:pt>
                <c:pt idx="31" formatCode="_(* #,##0.00_);_(* \(#,##0.00\);_(* &quot;-&quot;??_);_(@_)">
                  <c:v>3415.1435953400005</c:v>
                </c:pt>
                <c:pt idx="32" formatCode="_(* #,##0.00_);_(* \(#,##0.00\);_(* &quot;-&quot;??_);_(@_)">
                  <c:v>3572.3817726000007</c:v>
                </c:pt>
                <c:pt idx="33" formatCode="_(* #,##0.00_);_(* \(#,##0.00\);_(* &quot;-&quot;??_);_(@_)">
                  <c:v>3729.6199498600008</c:v>
                </c:pt>
                <c:pt idx="34" formatCode="_(* #,##0.00_);_(* \(#,##0.00\);_(* &quot;-&quot;??_);_(@_)">
                  <c:v>3886.858127120001</c:v>
                </c:pt>
                <c:pt idx="35" formatCode="_(* #,##0.00_);_(* \(#,##0.00\);_(* &quot;-&quot;??_);_(@_)">
                  <c:v>4044.0963043800011</c:v>
                </c:pt>
                <c:pt idx="36" formatCode="_(* #,##0.00_);_(* \(#,##0.00\);_(* &quot;-&quot;??_);_(@_)">
                  <c:v>4201.3344816400013</c:v>
                </c:pt>
                <c:pt idx="37" formatCode="_(* #,##0.00_);_(* \(#,##0.00\);_(* &quot;-&quot;??_);_(@_)">
                  <c:v>4358.5726589000014</c:v>
                </c:pt>
                <c:pt idx="38" formatCode="_(* #,##0.00_);_(* \(#,##0.00\);_(* &quot;-&quot;??_);_(@_)">
                  <c:v>4515.8108361600016</c:v>
                </c:pt>
                <c:pt idx="39" formatCode="_(* #,##0.00_);_(* \(#,##0.00\);_(* &quot;-&quot;??_);_(@_)">
                  <c:v>4673.0490134200018</c:v>
                </c:pt>
                <c:pt idx="40" formatCode="_(* #,##0.00_);_(* \(#,##0.00\);_(* &quot;-&quot;??_);_(@_)">
                  <c:v>4830.2871906800019</c:v>
                </c:pt>
                <c:pt idx="41" formatCode="_(* #,##0.00_);_(* \(#,##0.00\);_(* &quot;-&quot;??_);_(@_)">
                  <c:v>4987.5253679400021</c:v>
                </c:pt>
                <c:pt idx="42" formatCode="_(* #,##0.00_);_(* \(#,##0.00\);_(* &quot;-&quot;??_);_(@_)">
                  <c:v>5144.7635452000022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2A-404B-A69E-ABDA9C93A8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6496095"/>
        <c:axId val="1116507327"/>
      </c:lineChart>
      <c:catAx>
        <c:axId val="1116496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6507327"/>
        <c:crosses val="autoZero"/>
        <c:auto val="1"/>
        <c:lblAlgn val="ctr"/>
        <c:lblOffset val="100"/>
        <c:noMultiLvlLbl val="0"/>
      </c:catAx>
      <c:valAx>
        <c:axId val="111650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'1. Power'!$G$6</c:f>
              <c:strCache>
                <c:ptCount val="1"/>
                <c:pt idx="0">
                  <c:v> MWp 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6496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 sz="1200"/>
              <a:t>Historical &amp; Forecast</a:t>
            </a:r>
            <a:r>
              <a:rPr lang="en-SG" sz="1200" baseline="0"/>
              <a:t> Emission from Power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'1. Power'!$T$7</c:f>
              <c:strCache>
                <c:ptCount val="1"/>
                <c:pt idx="0">
                  <c:v>Emission from Power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'1. Power'!$B$8:$B$53</c:f>
              <c:numCache>
                <c:formatCode>General</c:formatCode>
                <c:ptCount val="46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  <c:pt idx="13">
                  <c:v>2018</c:v>
                </c:pt>
                <c:pt idx="14">
                  <c:v>2019</c:v>
                </c:pt>
                <c:pt idx="15">
                  <c:v>2020</c:v>
                </c:pt>
                <c:pt idx="16">
                  <c:v>2021</c:v>
                </c:pt>
                <c:pt idx="17">
                  <c:v>2022</c:v>
                </c:pt>
                <c:pt idx="18">
                  <c:v>2023</c:v>
                </c:pt>
                <c:pt idx="19">
                  <c:v>2024</c:v>
                </c:pt>
                <c:pt idx="20">
                  <c:v>2025</c:v>
                </c:pt>
                <c:pt idx="21">
                  <c:v>2026</c:v>
                </c:pt>
                <c:pt idx="22">
                  <c:v>2027</c:v>
                </c:pt>
                <c:pt idx="23">
                  <c:v>2028</c:v>
                </c:pt>
                <c:pt idx="24">
                  <c:v>2029</c:v>
                </c:pt>
                <c:pt idx="25">
                  <c:v>2030</c:v>
                </c:pt>
                <c:pt idx="26">
                  <c:v>2031</c:v>
                </c:pt>
                <c:pt idx="27">
                  <c:v>2032</c:v>
                </c:pt>
                <c:pt idx="28">
                  <c:v>2033</c:v>
                </c:pt>
                <c:pt idx="29">
                  <c:v>2034</c:v>
                </c:pt>
                <c:pt idx="30">
                  <c:v>2035</c:v>
                </c:pt>
                <c:pt idx="31">
                  <c:v>2036</c:v>
                </c:pt>
                <c:pt idx="32">
                  <c:v>2037</c:v>
                </c:pt>
                <c:pt idx="33">
                  <c:v>2038</c:v>
                </c:pt>
                <c:pt idx="34">
                  <c:v>2039</c:v>
                </c:pt>
                <c:pt idx="35">
                  <c:v>2040</c:v>
                </c:pt>
                <c:pt idx="36">
                  <c:v>2041</c:v>
                </c:pt>
                <c:pt idx="37">
                  <c:v>2042</c:v>
                </c:pt>
                <c:pt idx="38">
                  <c:v>2043</c:v>
                </c:pt>
                <c:pt idx="39">
                  <c:v>2044</c:v>
                </c:pt>
                <c:pt idx="40">
                  <c:v>2045</c:v>
                </c:pt>
                <c:pt idx="41">
                  <c:v>2046</c:v>
                </c:pt>
                <c:pt idx="42">
                  <c:v>2047</c:v>
                </c:pt>
                <c:pt idx="43">
                  <c:v>2048</c:v>
                </c:pt>
                <c:pt idx="44">
                  <c:v>2049</c:v>
                </c:pt>
                <c:pt idx="45">
                  <c:v>2050</c:v>
                </c:pt>
              </c:numCache>
            </c:numRef>
          </c:cat>
          <c:val>
            <c:numRef>
              <c:f>'1. Power'!$T$8:$T$53</c:f>
              <c:numCache>
                <c:formatCode>_-* #,##0_-;\-* #,##0_-;_-* "-"??_-;_-@_-</c:formatCode>
                <c:ptCount val="46"/>
                <c:pt idx="0">
                  <c:v>19691361</c:v>
                </c:pt>
                <c:pt idx="1">
                  <c:v>19872131</c:v>
                </c:pt>
                <c:pt idx="2">
                  <c:v>20324023</c:v>
                </c:pt>
                <c:pt idx="3">
                  <c:v>19886009</c:v>
                </c:pt>
                <c:pt idx="4">
                  <c:v>19679416</c:v>
                </c:pt>
                <c:pt idx="5">
                  <c:v>22009572</c:v>
                </c:pt>
                <c:pt idx="6">
                  <c:v>22447510</c:v>
                </c:pt>
                <c:pt idx="7">
                  <c:v>22007099</c:v>
                </c:pt>
                <c:pt idx="8">
                  <c:v>21851501</c:v>
                </c:pt>
                <c:pt idx="9">
                  <c:v>21772693</c:v>
                </c:pt>
                <c:pt idx="10">
                  <c:v>21937171</c:v>
                </c:pt>
                <c:pt idx="11">
                  <c:v>22450593</c:v>
                </c:pt>
                <c:pt idx="12">
                  <c:v>22850066</c:v>
                </c:pt>
                <c:pt idx="13">
                  <c:v>22316140</c:v>
                </c:pt>
                <c:pt idx="14">
                  <c:v>23239007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6A-4678-9483-8E43CD5D54BD}"/>
            </c:ext>
          </c:extLst>
        </c:ser>
        <c:ser>
          <c:idx val="1"/>
          <c:order val="1"/>
          <c:tx>
            <c:strRef>
              <c:f>'1. Power'!$X$7</c:f>
              <c:strCache>
                <c:ptCount val="1"/>
                <c:pt idx="0">
                  <c:v>Forecast Emission from Power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'1. Power'!$B$8:$B$53</c:f>
              <c:numCache>
                <c:formatCode>General</c:formatCode>
                <c:ptCount val="46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  <c:pt idx="13">
                  <c:v>2018</c:v>
                </c:pt>
                <c:pt idx="14">
                  <c:v>2019</c:v>
                </c:pt>
                <c:pt idx="15">
                  <c:v>2020</c:v>
                </c:pt>
                <c:pt idx="16">
                  <c:v>2021</c:v>
                </c:pt>
                <c:pt idx="17">
                  <c:v>2022</c:v>
                </c:pt>
                <c:pt idx="18">
                  <c:v>2023</c:v>
                </c:pt>
                <c:pt idx="19">
                  <c:v>2024</c:v>
                </c:pt>
                <c:pt idx="20">
                  <c:v>2025</c:v>
                </c:pt>
                <c:pt idx="21">
                  <c:v>2026</c:v>
                </c:pt>
                <c:pt idx="22">
                  <c:v>2027</c:v>
                </c:pt>
                <c:pt idx="23">
                  <c:v>2028</c:v>
                </c:pt>
                <c:pt idx="24">
                  <c:v>2029</c:v>
                </c:pt>
                <c:pt idx="25">
                  <c:v>2030</c:v>
                </c:pt>
                <c:pt idx="26">
                  <c:v>2031</c:v>
                </c:pt>
                <c:pt idx="27">
                  <c:v>2032</c:v>
                </c:pt>
                <c:pt idx="28">
                  <c:v>2033</c:v>
                </c:pt>
                <c:pt idx="29">
                  <c:v>2034</c:v>
                </c:pt>
                <c:pt idx="30">
                  <c:v>2035</c:v>
                </c:pt>
                <c:pt idx="31">
                  <c:v>2036</c:v>
                </c:pt>
                <c:pt idx="32">
                  <c:v>2037</c:v>
                </c:pt>
                <c:pt idx="33">
                  <c:v>2038</c:v>
                </c:pt>
                <c:pt idx="34">
                  <c:v>2039</c:v>
                </c:pt>
                <c:pt idx="35">
                  <c:v>2040</c:v>
                </c:pt>
                <c:pt idx="36">
                  <c:v>2041</c:v>
                </c:pt>
                <c:pt idx="37">
                  <c:v>2042</c:v>
                </c:pt>
                <c:pt idx="38">
                  <c:v>2043</c:v>
                </c:pt>
                <c:pt idx="39">
                  <c:v>2044</c:v>
                </c:pt>
                <c:pt idx="40">
                  <c:v>2045</c:v>
                </c:pt>
                <c:pt idx="41">
                  <c:v>2046</c:v>
                </c:pt>
                <c:pt idx="42">
                  <c:v>2047</c:v>
                </c:pt>
                <c:pt idx="43">
                  <c:v>2048</c:v>
                </c:pt>
                <c:pt idx="44">
                  <c:v>2049</c:v>
                </c:pt>
                <c:pt idx="45">
                  <c:v>2050</c:v>
                </c:pt>
              </c:numCache>
            </c:numRef>
          </c:cat>
          <c:val>
            <c:numRef>
              <c:f>'1. Power'!$W$8:$W$53</c:f>
              <c:numCache>
                <c:formatCode>General</c:formatCode>
                <c:ptCount val="46"/>
                <c:pt idx="14" formatCode="_-* #,##0_-;\-* #,##0_-;_-* &quot;-&quot;??_-;_-@_-">
                  <c:v>23239007</c:v>
                </c:pt>
                <c:pt idx="15" formatCode="_-* #,##0_-;\-* #,##0_-;_-* &quot;-&quot;??_-;_-@_-">
                  <c:v>22493372.556654561</c:v>
                </c:pt>
                <c:pt idx="16" formatCode="_-* #,##0_-;\-* #,##0_-;_-* &quot;-&quot;??_-;_-@_-">
                  <c:v>22695308.540901899</c:v>
                </c:pt>
                <c:pt idx="17" formatCode="_-* #,##0_-;\-* #,##0_-;_-* &quot;-&quot;??_-;_-@_-">
                  <c:v>22885168.103592187</c:v>
                </c:pt>
                <c:pt idx="18" formatCode="_-* #,##0_-;\-* #,##0_-;_-* &quot;-&quot;??_-;_-@_-">
                  <c:v>23074084.28293553</c:v>
                </c:pt>
                <c:pt idx="19" formatCode="_-* #,##0_-;\-* #,##0_-;_-* &quot;-&quot;??_-;_-@_-">
                  <c:v>23256541.103340596</c:v>
                </c:pt>
                <c:pt idx="20" formatCode="_-* #,##0_-;\-* #,##0_-;_-* &quot;-&quot;??_-;_-@_-">
                  <c:v>23428349.033366345</c:v>
                </c:pt>
                <c:pt idx="21" formatCode="_-* #,##0_-;\-* #,##0_-;_-* &quot;-&quot;??_-;_-@_-">
                  <c:v>23589710.263506904</c:v>
                </c:pt>
                <c:pt idx="22" formatCode="_-* #,##0_-;\-* #,##0_-;_-* &quot;-&quot;??_-;_-@_-">
                  <c:v>23742349.388182212</c:v>
                </c:pt>
                <c:pt idx="23" formatCode="_-* #,##0_-;\-* #,##0_-;_-* &quot;-&quot;??_-;_-@_-">
                  <c:v>23885584.125645719</c:v>
                </c:pt>
                <c:pt idx="24" formatCode="_-* #,##0_-;\-* #,##0_-;_-* &quot;-&quot;??_-;_-@_-">
                  <c:v>24018618.831015021</c:v>
                </c:pt>
                <c:pt idx="25" formatCode="_-* #,##0_-;\-* #,##0_-;_-* &quot;-&quot;??_-;_-@_-">
                  <c:v>24140879.090726186</c:v>
                </c:pt>
                <c:pt idx="26" formatCode="_-* #,##0_-;\-* #,##0_-;_-* &quot;-&quot;??_-;_-@_-">
                  <c:v>24252041.884535201</c:v>
                </c:pt>
                <c:pt idx="27" formatCode="_-* #,##0_-;\-* #,##0_-;_-* &quot;-&quot;??_-;_-@_-">
                  <c:v>24351883.284474172</c:v>
                </c:pt>
                <c:pt idx="28" formatCode="_-* #,##0_-;\-* #,##0_-;_-* &quot;-&quot;??_-;_-@_-">
                  <c:v>24440180.283449739</c:v>
                </c:pt>
                <c:pt idx="29" formatCode="_-* #,##0_-;\-* #,##0_-;_-* &quot;-&quot;??_-;_-@_-">
                  <c:v>24516670.852316942</c:v>
                </c:pt>
                <c:pt idx="30" formatCode="_-* #,##0_-;\-* #,##0_-;_-* &quot;-&quot;??_-;_-@_-">
                  <c:v>24581204.879805926</c:v>
                </c:pt>
                <c:pt idx="31" formatCode="_-* #,##0_-;\-* #,##0_-;_-* &quot;-&quot;??_-;_-@_-">
                  <c:v>24633858.848307855</c:v>
                </c:pt>
                <c:pt idx="32" formatCode="_-* #,##0_-;\-* #,##0_-;_-* &quot;-&quot;??_-;_-@_-">
                  <c:v>24674695.800698578</c:v>
                </c:pt>
                <c:pt idx="33" formatCode="_-* #,##0_-;\-* #,##0_-;_-* &quot;-&quot;??_-;_-@_-">
                  <c:v>24703986.498282701</c:v>
                </c:pt>
                <c:pt idx="34" formatCode="_-* #,##0_-;\-* #,##0_-;_-* &quot;-&quot;??_-;_-@_-">
                  <c:v>24722226.143279705</c:v>
                </c:pt>
                <c:pt idx="35" formatCode="_-* #,##0_-;\-* #,##0_-;_-* &quot;-&quot;??_-;_-@_-">
                  <c:v>24729824.378043525</c:v>
                </c:pt>
                <c:pt idx="36" formatCode="_-* #,##0_-;\-* #,##0_-;_-* &quot;-&quot;??_-;_-@_-">
                  <c:v>24727101.2589298</c:v>
                </c:pt>
                <c:pt idx="37" formatCode="_-* #,##0_-;\-* #,##0_-;_-* &quot;-&quot;??_-;_-@_-">
                  <c:v>24714441.862891082</c:v>
                </c:pt>
                <c:pt idx="38" formatCode="_-* #,##0_-;\-* #,##0_-;_-* &quot;-&quot;??_-;_-@_-">
                  <c:v>24692502.866929237</c:v>
                </c:pt>
                <c:pt idx="39" formatCode="_-* #,##0_-;\-* #,##0_-;_-* &quot;-&quot;??_-;_-@_-">
                  <c:v>24662132.137183256</c:v>
                </c:pt>
                <c:pt idx="40" formatCode="_-* #,##0_-;\-* #,##0_-;_-* &quot;-&quot;??_-;_-@_-">
                  <c:v>24624086.645182718</c:v>
                </c:pt>
                <c:pt idx="41" formatCode="_-* #,##0_-;\-* #,##0_-;_-* &quot;-&quot;??_-;_-@_-">
                  <c:v>24578844.117399883</c:v>
                </c:pt>
                <c:pt idx="42" formatCode="_-* #,##0_-;\-* #,##0_-;_-* &quot;-&quot;??_-;_-@_-">
                  <c:v>24526810.430564631</c:v>
                </c:pt>
                <c:pt idx="43" formatCode="_-* #,##0_-;\-* #,##0_-;_-* &quot;-&quot;??_-;_-@_-">
                  <c:v>24468880.774198662</c:v>
                </c:pt>
                <c:pt idx="44" formatCode="_-* #,##0_-;\-* #,##0_-;_-* &quot;-&quot;??_-;_-@_-">
                  <c:v>24405526.864856407</c:v>
                </c:pt>
                <c:pt idx="45" formatCode="_-* #,##0_-;\-* #,##0_-;_-* &quot;-&quot;??_-;_-@_-">
                  <c:v>24337511.762068614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6A-4678-9483-8E43CD5D54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4358463"/>
        <c:axId val="1374362207"/>
      </c:lineChart>
      <c:catAx>
        <c:axId val="1374358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4362207"/>
        <c:crosses val="autoZero"/>
        <c:auto val="1"/>
        <c:lblAlgn val="ctr"/>
        <c:lblOffset val="100"/>
        <c:noMultiLvlLbl val="0"/>
      </c:catAx>
      <c:valAx>
        <c:axId val="1374362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4358463"/>
        <c:crosses val="autoZero"/>
        <c:crossBetween val="between"/>
        <c:dispUnits>
          <c:builtInUnit val="thousand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SG"/>
                    <a:t>kg CO2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 sz="1200"/>
              <a:t>Historical &amp; Forecast Power</a:t>
            </a:r>
            <a:r>
              <a:rPr lang="en-SG" sz="1200" baseline="0"/>
              <a:t> Source Mix %</a:t>
            </a:r>
            <a:endParaRPr lang="en-SG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'1. Power'!$M$7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'1. Power'!$B$12:$B$53</c:f>
              <c:numCache>
                <c:formatCode>General</c:formatCode>
                <c:ptCount val="42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  <c:pt idx="12">
                  <c:v>2021</c:v>
                </c:pt>
                <c:pt idx="13">
                  <c:v>2022</c:v>
                </c:pt>
                <c:pt idx="14">
                  <c:v>2023</c:v>
                </c:pt>
                <c:pt idx="15">
                  <c:v>2024</c:v>
                </c:pt>
                <c:pt idx="16">
                  <c:v>2025</c:v>
                </c:pt>
                <c:pt idx="17">
                  <c:v>2026</c:v>
                </c:pt>
                <c:pt idx="18">
                  <c:v>2027</c:v>
                </c:pt>
                <c:pt idx="19">
                  <c:v>2028</c:v>
                </c:pt>
                <c:pt idx="20">
                  <c:v>2029</c:v>
                </c:pt>
                <c:pt idx="21">
                  <c:v>2030</c:v>
                </c:pt>
                <c:pt idx="22">
                  <c:v>2031</c:v>
                </c:pt>
                <c:pt idx="23">
                  <c:v>2032</c:v>
                </c:pt>
                <c:pt idx="24">
                  <c:v>2033</c:v>
                </c:pt>
                <c:pt idx="25">
                  <c:v>2034</c:v>
                </c:pt>
                <c:pt idx="26">
                  <c:v>2035</c:v>
                </c:pt>
                <c:pt idx="27">
                  <c:v>2036</c:v>
                </c:pt>
                <c:pt idx="28">
                  <c:v>2037</c:v>
                </c:pt>
                <c:pt idx="29">
                  <c:v>2038</c:v>
                </c:pt>
                <c:pt idx="30">
                  <c:v>2039</c:v>
                </c:pt>
                <c:pt idx="31">
                  <c:v>2040</c:v>
                </c:pt>
                <c:pt idx="32">
                  <c:v>2041</c:v>
                </c:pt>
                <c:pt idx="33">
                  <c:v>2042</c:v>
                </c:pt>
                <c:pt idx="34">
                  <c:v>2043</c:v>
                </c:pt>
                <c:pt idx="35">
                  <c:v>2044</c:v>
                </c:pt>
                <c:pt idx="36">
                  <c:v>2045</c:v>
                </c:pt>
                <c:pt idx="37">
                  <c:v>2046</c:v>
                </c:pt>
                <c:pt idx="38">
                  <c:v>2047</c:v>
                </c:pt>
                <c:pt idx="39">
                  <c:v>2048</c:v>
                </c:pt>
                <c:pt idx="40">
                  <c:v>2049</c:v>
                </c:pt>
                <c:pt idx="41">
                  <c:v>2050</c:v>
                </c:pt>
              </c:numCache>
            </c:numRef>
          </c:cat>
          <c:val>
            <c:numRef>
              <c:f>'1. Power'!$M$12:$M$53</c:f>
              <c:numCache>
                <c:formatCode>0.00%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1.7083333333333332E-3</c:v>
                </c:pt>
                <c:pt idx="8">
                  <c:v>2.3499999999999997E-3</c:v>
                </c:pt>
                <c:pt idx="9">
                  <c:v>2.558333333333333E-3</c:v>
                </c:pt>
                <c:pt idx="10">
                  <c:v>3.5916666666666671E-3</c:v>
                </c:pt>
                <c:pt idx="11">
                  <c:v>5.5583333333333327E-3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01-4197-AAE3-26E75FCA3F41}"/>
            </c:ext>
          </c:extLst>
        </c:ser>
        <c:ser>
          <c:idx val="1"/>
          <c:order val="1"/>
          <c:tx>
            <c:strRef>
              <c:f>'1. Power'!$N$7</c:f>
              <c:strCache>
                <c:ptCount val="1"/>
                <c:pt idx="0">
                  <c:v>Non-renewable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>
              <a:noFill/>
            </a:ln>
            <a:effectLst/>
          </c:spPr>
          <c:invertIfNegative val="0"/>
          <c:cat>
            <c:numRef>
              <c:f>'1. Power'!$B$12:$B$53</c:f>
              <c:numCache>
                <c:formatCode>General</c:formatCode>
                <c:ptCount val="42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  <c:pt idx="12">
                  <c:v>2021</c:v>
                </c:pt>
                <c:pt idx="13">
                  <c:v>2022</c:v>
                </c:pt>
                <c:pt idx="14">
                  <c:v>2023</c:v>
                </c:pt>
                <c:pt idx="15">
                  <c:v>2024</c:v>
                </c:pt>
                <c:pt idx="16">
                  <c:v>2025</c:v>
                </c:pt>
                <c:pt idx="17">
                  <c:v>2026</c:v>
                </c:pt>
                <c:pt idx="18">
                  <c:v>2027</c:v>
                </c:pt>
                <c:pt idx="19">
                  <c:v>2028</c:v>
                </c:pt>
                <c:pt idx="20">
                  <c:v>2029</c:v>
                </c:pt>
                <c:pt idx="21">
                  <c:v>2030</c:v>
                </c:pt>
                <c:pt idx="22">
                  <c:v>2031</c:v>
                </c:pt>
                <c:pt idx="23">
                  <c:v>2032</c:v>
                </c:pt>
                <c:pt idx="24">
                  <c:v>2033</c:v>
                </c:pt>
                <c:pt idx="25">
                  <c:v>2034</c:v>
                </c:pt>
                <c:pt idx="26">
                  <c:v>2035</c:v>
                </c:pt>
                <c:pt idx="27">
                  <c:v>2036</c:v>
                </c:pt>
                <c:pt idx="28">
                  <c:v>2037</c:v>
                </c:pt>
                <c:pt idx="29">
                  <c:v>2038</c:v>
                </c:pt>
                <c:pt idx="30">
                  <c:v>2039</c:v>
                </c:pt>
                <c:pt idx="31">
                  <c:v>2040</c:v>
                </c:pt>
                <c:pt idx="32">
                  <c:v>2041</c:v>
                </c:pt>
                <c:pt idx="33">
                  <c:v>2042</c:v>
                </c:pt>
                <c:pt idx="34">
                  <c:v>2043</c:v>
                </c:pt>
                <c:pt idx="35">
                  <c:v>2044</c:v>
                </c:pt>
                <c:pt idx="36">
                  <c:v>2045</c:v>
                </c:pt>
                <c:pt idx="37">
                  <c:v>2046</c:v>
                </c:pt>
                <c:pt idx="38">
                  <c:v>2047</c:v>
                </c:pt>
                <c:pt idx="39">
                  <c:v>2048</c:v>
                </c:pt>
                <c:pt idx="40">
                  <c:v>2049</c:v>
                </c:pt>
                <c:pt idx="41">
                  <c:v>2050</c:v>
                </c:pt>
              </c:numCache>
            </c:numRef>
          </c:cat>
          <c:val>
            <c:numRef>
              <c:f>'1. Power'!$N$12:$N$53</c:f>
              <c:numCache>
                <c:formatCode>0.0%</c:formatCode>
                <c:ptCount val="42"/>
                <c:pt idx="0">
                  <c:v>0.99999166666666661</c:v>
                </c:pt>
                <c:pt idx="1">
                  <c:v>1.0000083333333334</c:v>
                </c:pt>
                <c:pt idx="2">
                  <c:v>0.99999166666666672</c:v>
                </c:pt>
                <c:pt idx="3">
                  <c:v>0.99999999999999989</c:v>
                </c:pt>
                <c:pt idx="4">
                  <c:v>0.9999916666666665</c:v>
                </c:pt>
                <c:pt idx="5">
                  <c:v>1.0000166666666668</c:v>
                </c:pt>
                <c:pt idx="6">
                  <c:v>1</c:v>
                </c:pt>
                <c:pt idx="7">
                  <c:v>0.99829166666666636</c:v>
                </c:pt>
                <c:pt idx="8">
                  <c:v>0.99765000000000004</c:v>
                </c:pt>
                <c:pt idx="9">
                  <c:v>0.99744166666666667</c:v>
                </c:pt>
                <c:pt idx="10">
                  <c:v>0.99640833333333334</c:v>
                </c:pt>
                <c:pt idx="11">
                  <c:v>0.99443664844053614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01-4197-AAE3-26E75FCA3F41}"/>
            </c:ext>
          </c:extLst>
        </c:ser>
        <c:ser>
          <c:idx val="2"/>
          <c:order val="2"/>
          <c:tx>
            <c:strRef>
              <c:f>'1. Power'!$O$7</c:f>
              <c:strCache>
                <c:ptCount val="1"/>
                <c:pt idx="0">
                  <c:v>Solar Forecast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numRef>
              <c:f>'1. Power'!$B$12:$B$53</c:f>
              <c:numCache>
                <c:formatCode>General</c:formatCode>
                <c:ptCount val="42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  <c:pt idx="12">
                  <c:v>2021</c:v>
                </c:pt>
                <c:pt idx="13">
                  <c:v>2022</c:v>
                </c:pt>
                <c:pt idx="14">
                  <c:v>2023</c:v>
                </c:pt>
                <c:pt idx="15">
                  <c:v>2024</c:v>
                </c:pt>
                <c:pt idx="16">
                  <c:v>2025</c:v>
                </c:pt>
                <c:pt idx="17">
                  <c:v>2026</c:v>
                </c:pt>
                <c:pt idx="18">
                  <c:v>2027</c:v>
                </c:pt>
                <c:pt idx="19">
                  <c:v>2028</c:v>
                </c:pt>
                <c:pt idx="20">
                  <c:v>2029</c:v>
                </c:pt>
                <c:pt idx="21">
                  <c:v>2030</c:v>
                </c:pt>
                <c:pt idx="22">
                  <c:v>2031</c:v>
                </c:pt>
                <c:pt idx="23">
                  <c:v>2032</c:v>
                </c:pt>
                <c:pt idx="24">
                  <c:v>2033</c:v>
                </c:pt>
                <c:pt idx="25">
                  <c:v>2034</c:v>
                </c:pt>
                <c:pt idx="26">
                  <c:v>2035</c:v>
                </c:pt>
                <c:pt idx="27">
                  <c:v>2036</c:v>
                </c:pt>
                <c:pt idx="28">
                  <c:v>2037</c:v>
                </c:pt>
                <c:pt idx="29">
                  <c:v>2038</c:v>
                </c:pt>
                <c:pt idx="30">
                  <c:v>2039</c:v>
                </c:pt>
                <c:pt idx="31">
                  <c:v>2040</c:v>
                </c:pt>
                <c:pt idx="32">
                  <c:v>2041</c:v>
                </c:pt>
                <c:pt idx="33">
                  <c:v>2042</c:v>
                </c:pt>
                <c:pt idx="34">
                  <c:v>2043</c:v>
                </c:pt>
                <c:pt idx="35">
                  <c:v>2044</c:v>
                </c:pt>
                <c:pt idx="36">
                  <c:v>2045</c:v>
                </c:pt>
                <c:pt idx="37">
                  <c:v>2046</c:v>
                </c:pt>
                <c:pt idx="38">
                  <c:v>2047</c:v>
                </c:pt>
                <c:pt idx="39">
                  <c:v>2048</c:v>
                </c:pt>
                <c:pt idx="40">
                  <c:v>2049</c:v>
                </c:pt>
                <c:pt idx="41">
                  <c:v>2050</c:v>
                </c:pt>
              </c:numCache>
            </c:numRef>
          </c:cat>
          <c:val>
            <c:numRef>
              <c:f>'1. Power'!$O$12:$O$53</c:f>
              <c:numCache>
                <c:formatCode>0.00%</c:formatCode>
                <c:ptCount val="42"/>
                <c:pt idx="12">
                  <c:v>5.8358333333334844E-3</c:v>
                </c:pt>
                <c:pt idx="13">
                  <c:v>6.7300000000001248E-3</c:v>
                </c:pt>
                <c:pt idx="14">
                  <c:v>7.6241666666667651E-3</c:v>
                </c:pt>
                <c:pt idx="15">
                  <c:v>8.5183333333334055E-3</c:v>
                </c:pt>
                <c:pt idx="16">
                  <c:v>9.4125000000000458E-3</c:v>
                </c:pt>
                <c:pt idx="17">
                  <c:v>1.0306666666666686E-2</c:v>
                </c:pt>
                <c:pt idx="18">
                  <c:v>1.1200833333333549E-2</c:v>
                </c:pt>
                <c:pt idx="19">
                  <c:v>1.2095000000000189E-2</c:v>
                </c:pt>
                <c:pt idx="20">
                  <c:v>1.2989166666666829E-2</c:v>
                </c:pt>
                <c:pt idx="21">
                  <c:v>1.388333333333347E-2</c:v>
                </c:pt>
                <c:pt idx="22">
                  <c:v>1.477750000000011E-2</c:v>
                </c:pt>
                <c:pt idx="23">
                  <c:v>1.567166666666675E-2</c:v>
                </c:pt>
                <c:pt idx="24">
                  <c:v>1.6565833333333391E-2</c:v>
                </c:pt>
                <c:pt idx="25">
                  <c:v>1.7460000000000031E-2</c:v>
                </c:pt>
                <c:pt idx="26">
                  <c:v>1.8354166666666671E-2</c:v>
                </c:pt>
                <c:pt idx="27">
                  <c:v>1.9248333333333534E-2</c:v>
                </c:pt>
                <c:pt idx="28">
                  <c:v>2.0142500000000174E-2</c:v>
                </c:pt>
                <c:pt idx="29">
                  <c:v>2.1036666666666815E-2</c:v>
                </c:pt>
                <c:pt idx="30">
                  <c:v>2.1930833333333455E-2</c:v>
                </c:pt>
                <c:pt idx="31">
                  <c:v>2.2825000000000095E-2</c:v>
                </c:pt>
                <c:pt idx="32">
                  <c:v>2.3719166666666736E-2</c:v>
                </c:pt>
                <c:pt idx="33">
                  <c:v>2.4613333333333376E-2</c:v>
                </c:pt>
                <c:pt idx="34">
                  <c:v>2.5507500000000016E-2</c:v>
                </c:pt>
                <c:pt idx="35">
                  <c:v>2.6401666666666879E-2</c:v>
                </c:pt>
                <c:pt idx="36">
                  <c:v>2.7295833333333519E-2</c:v>
                </c:pt>
                <c:pt idx="37">
                  <c:v>2.8190000000000159E-2</c:v>
                </c:pt>
                <c:pt idx="38">
                  <c:v>2.90841666666668E-2</c:v>
                </c:pt>
                <c:pt idx="39">
                  <c:v>2.997833333333344E-2</c:v>
                </c:pt>
                <c:pt idx="40">
                  <c:v>3.087250000000008E-2</c:v>
                </c:pt>
                <c:pt idx="41">
                  <c:v>3.1766666666666721E-2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01-4197-AAE3-26E75FCA3F41}"/>
            </c:ext>
          </c:extLst>
        </c:ser>
        <c:ser>
          <c:idx val="3"/>
          <c:order val="3"/>
          <c:tx>
            <c:strRef>
              <c:f>'1. Power'!$P$7</c:f>
              <c:strCache>
                <c:ptCount val="1"/>
                <c:pt idx="0">
                  <c:v>Non-renewable Forecast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>
              <a:noFill/>
            </a:ln>
            <a:effectLst/>
          </c:spPr>
          <c:invertIfNegative val="0"/>
          <c:cat>
            <c:numRef>
              <c:f>'1. Power'!$B$12:$B$53</c:f>
              <c:numCache>
                <c:formatCode>General</c:formatCode>
                <c:ptCount val="42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2019</c:v>
                </c:pt>
                <c:pt idx="11">
                  <c:v>2020</c:v>
                </c:pt>
                <c:pt idx="12">
                  <c:v>2021</c:v>
                </c:pt>
                <c:pt idx="13">
                  <c:v>2022</c:v>
                </c:pt>
                <c:pt idx="14">
                  <c:v>2023</c:v>
                </c:pt>
                <c:pt idx="15">
                  <c:v>2024</c:v>
                </c:pt>
                <c:pt idx="16">
                  <c:v>2025</c:v>
                </c:pt>
                <c:pt idx="17">
                  <c:v>2026</c:v>
                </c:pt>
                <c:pt idx="18">
                  <c:v>2027</c:v>
                </c:pt>
                <c:pt idx="19">
                  <c:v>2028</c:v>
                </c:pt>
                <c:pt idx="20">
                  <c:v>2029</c:v>
                </c:pt>
                <c:pt idx="21">
                  <c:v>2030</c:v>
                </c:pt>
                <c:pt idx="22">
                  <c:v>2031</c:v>
                </c:pt>
                <c:pt idx="23">
                  <c:v>2032</c:v>
                </c:pt>
                <c:pt idx="24">
                  <c:v>2033</c:v>
                </c:pt>
                <c:pt idx="25">
                  <c:v>2034</c:v>
                </c:pt>
                <c:pt idx="26">
                  <c:v>2035</c:v>
                </c:pt>
                <c:pt idx="27">
                  <c:v>2036</c:v>
                </c:pt>
                <c:pt idx="28">
                  <c:v>2037</c:v>
                </c:pt>
                <c:pt idx="29">
                  <c:v>2038</c:v>
                </c:pt>
                <c:pt idx="30">
                  <c:v>2039</c:v>
                </c:pt>
                <c:pt idx="31">
                  <c:v>2040</c:v>
                </c:pt>
                <c:pt idx="32">
                  <c:v>2041</c:v>
                </c:pt>
                <c:pt idx="33">
                  <c:v>2042</c:v>
                </c:pt>
                <c:pt idx="34">
                  <c:v>2043</c:v>
                </c:pt>
                <c:pt idx="35">
                  <c:v>2044</c:v>
                </c:pt>
                <c:pt idx="36">
                  <c:v>2045</c:v>
                </c:pt>
                <c:pt idx="37">
                  <c:v>2046</c:v>
                </c:pt>
                <c:pt idx="38">
                  <c:v>2047</c:v>
                </c:pt>
                <c:pt idx="39">
                  <c:v>2048</c:v>
                </c:pt>
                <c:pt idx="40">
                  <c:v>2049</c:v>
                </c:pt>
                <c:pt idx="41">
                  <c:v>2050</c:v>
                </c:pt>
              </c:numCache>
            </c:numRef>
          </c:cat>
          <c:val>
            <c:numRef>
              <c:f>'1. Power'!$P$12:$P$53</c:f>
              <c:numCache>
                <c:formatCode>0.0%</c:formatCode>
                <c:ptCount val="42"/>
                <c:pt idx="12">
                  <c:v>0.99416416666666652</c:v>
                </c:pt>
                <c:pt idx="13" formatCode="0.00%">
                  <c:v>0.99326999999999988</c:v>
                </c:pt>
                <c:pt idx="14" formatCode="0.00%">
                  <c:v>0.99237583333333323</c:v>
                </c:pt>
                <c:pt idx="15" formatCode="0.00%">
                  <c:v>0.99148166666666659</c:v>
                </c:pt>
                <c:pt idx="16" formatCode="0.00%">
                  <c:v>0.99058749999999995</c:v>
                </c:pt>
                <c:pt idx="17" formatCode="0.00%">
                  <c:v>0.98969333333333331</c:v>
                </c:pt>
                <c:pt idx="18" formatCode="0.00%">
                  <c:v>0.98879916666666645</c:v>
                </c:pt>
                <c:pt idx="19" formatCode="0.00%">
                  <c:v>0.98790499999999981</c:v>
                </c:pt>
                <c:pt idx="20" formatCode="0.00%">
                  <c:v>0.98701083333333317</c:v>
                </c:pt>
                <c:pt idx="21" formatCode="0.00%">
                  <c:v>0.98611666666666653</c:v>
                </c:pt>
                <c:pt idx="22" formatCode="0.00%">
                  <c:v>0.98522249999999989</c:v>
                </c:pt>
                <c:pt idx="23" formatCode="0.00%">
                  <c:v>0.98432833333333325</c:v>
                </c:pt>
                <c:pt idx="24" formatCode="0.00%">
                  <c:v>0.98343416666666661</c:v>
                </c:pt>
                <c:pt idx="25" formatCode="0.00%">
                  <c:v>0.98253999999999997</c:v>
                </c:pt>
                <c:pt idx="26" formatCode="0.00%">
                  <c:v>0.98164583333333333</c:v>
                </c:pt>
                <c:pt idx="27" formatCode="0.00%">
                  <c:v>0.98075166666666647</c:v>
                </c:pt>
                <c:pt idx="28" formatCode="0.00%">
                  <c:v>0.97985749999999983</c:v>
                </c:pt>
                <c:pt idx="29" formatCode="0.00%">
                  <c:v>0.97896333333333319</c:v>
                </c:pt>
                <c:pt idx="30" formatCode="0.00%">
                  <c:v>0.97806916666666655</c:v>
                </c:pt>
                <c:pt idx="31" formatCode="0.00%">
                  <c:v>0.9771749999999999</c:v>
                </c:pt>
                <c:pt idx="32" formatCode="0.00%">
                  <c:v>0.97628083333333326</c:v>
                </c:pt>
                <c:pt idx="33" formatCode="0.00%">
                  <c:v>0.97538666666666662</c:v>
                </c:pt>
                <c:pt idx="34" formatCode="0.00%">
                  <c:v>0.97449249999999998</c:v>
                </c:pt>
                <c:pt idx="35" formatCode="0.00%">
                  <c:v>0.97359833333333312</c:v>
                </c:pt>
                <c:pt idx="36" formatCode="0.00%">
                  <c:v>0.97270416666666648</c:v>
                </c:pt>
                <c:pt idx="37" formatCode="0.00%">
                  <c:v>0.97180999999999984</c:v>
                </c:pt>
                <c:pt idx="38" formatCode="0.00%">
                  <c:v>0.9709158333333332</c:v>
                </c:pt>
                <c:pt idx="39" formatCode="0.00%">
                  <c:v>0.97002166666666656</c:v>
                </c:pt>
                <c:pt idx="40" formatCode="0.00%">
                  <c:v>0.96912749999999992</c:v>
                </c:pt>
                <c:pt idx="41" formatCode="0.00%">
                  <c:v>0.96823333333333328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01-4197-AAE3-26E75FCA3F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78062848"/>
        <c:axId val="178059520"/>
      </c:barChart>
      <c:catAx>
        <c:axId val="178062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059520"/>
        <c:crosses val="autoZero"/>
        <c:auto val="1"/>
        <c:lblAlgn val="ctr"/>
        <c:lblOffset val="100"/>
        <c:noMultiLvlLbl val="0"/>
      </c:catAx>
      <c:valAx>
        <c:axId val="17805952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062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 sz="1200"/>
              <a:t>Historical and Forecast IIP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'2. Industry'!$D$7</c:f>
              <c:strCache>
                <c:ptCount val="1"/>
                <c:pt idx="0">
                  <c:v>IIP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'2. Industry'!$B$8:$B$72</c:f>
              <c:numCache>
                <c:formatCode>General</c:formatCode>
                <c:ptCount val="65"/>
                <c:pt idx="0">
                  <c:v>1986</c:v>
                </c:pt>
                <c:pt idx="1">
                  <c:v>1987</c:v>
                </c:pt>
                <c:pt idx="2">
                  <c:v>1988</c:v>
                </c:pt>
                <c:pt idx="3">
                  <c:v>1989</c:v>
                </c:pt>
                <c:pt idx="4">
                  <c:v>1990</c:v>
                </c:pt>
                <c:pt idx="5">
                  <c:v>1991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  <c:pt idx="21">
                  <c:v>2007</c:v>
                </c:pt>
                <c:pt idx="22">
                  <c:v>2008</c:v>
                </c:pt>
                <c:pt idx="23">
                  <c:v>2009</c:v>
                </c:pt>
                <c:pt idx="24">
                  <c:v>2010</c:v>
                </c:pt>
                <c:pt idx="25">
                  <c:v>2011</c:v>
                </c:pt>
                <c:pt idx="26">
                  <c:v>2012</c:v>
                </c:pt>
                <c:pt idx="27">
                  <c:v>2013</c:v>
                </c:pt>
                <c:pt idx="28">
                  <c:v>2014</c:v>
                </c:pt>
                <c:pt idx="29">
                  <c:v>2015</c:v>
                </c:pt>
                <c:pt idx="30">
                  <c:v>2016</c:v>
                </c:pt>
                <c:pt idx="31">
                  <c:v>2017</c:v>
                </c:pt>
                <c:pt idx="32">
                  <c:v>2018</c:v>
                </c:pt>
                <c:pt idx="33">
                  <c:v>2019</c:v>
                </c:pt>
                <c:pt idx="34">
                  <c:v>2020</c:v>
                </c:pt>
                <c:pt idx="35">
                  <c:v>2021</c:v>
                </c:pt>
                <c:pt idx="36">
                  <c:v>2022</c:v>
                </c:pt>
                <c:pt idx="37">
                  <c:v>2023</c:v>
                </c:pt>
                <c:pt idx="38">
                  <c:v>2024</c:v>
                </c:pt>
                <c:pt idx="39">
                  <c:v>2025</c:v>
                </c:pt>
                <c:pt idx="40">
                  <c:v>2026</c:v>
                </c:pt>
                <c:pt idx="41">
                  <c:v>2027</c:v>
                </c:pt>
                <c:pt idx="42">
                  <c:v>2028</c:v>
                </c:pt>
                <c:pt idx="43">
                  <c:v>2029</c:v>
                </c:pt>
                <c:pt idx="44">
                  <c:v>2030</c:v>
                </c:pt>
                <c:pt idx="45">
                  <c:v>2031</c:v>
                </c:pt>
                <c:pt idx="46">
                  <c:v>2032</c:v>
                </c:pt>
                <c:pt idx="47">
                  <c:v>2033</c:v>
                </c:pt>
                <c:pt idx="48">
                  <c:v>2034</c:v>
                </c:pt>
                <c:pt idx="49">
                  <c:v>2035</c:v>
                </c:pt>
                <c:pt idx="50">
                  <c:v>2036</c:v>
                </c:pt>
                <c:pt idx="51">
                  <c:v>2037</c:v>
                </c:pt>
                <c:pt idx="52">
                  <c:v>2038</c:v>
                </c:pt>
                <c:pt idx="53">
                  <c:v>2039</c:v>
                </c:pt>
                <c:pt idx="54">
                  <c:v>2040</c:v>
                </c:pt>
                <c:pt idx="55">
                  <c:v>2041</c:v>
                </c:pt>
                <c:pt idx="56">
                  <c:v>2042</c:v>
                </c:pt>
                <c:pt idx="57">
                  <c:v>2043</c:v>
                </c:pt>
                <c:pt idx="58">
                  <c:v>2044</c:v>
                </c:pt>
                <c:pt idx="59">
                  <c:v>2045</c:v>
                </c:pt>
                <c:pt idx="60">
                  <c:v>2046</c:v>
                </c:pt>
                <c:pt idx="61">
                  <c:v>2047</c:v>
                </c:pt>
                <c:pt idx="62">
                  <c:v>2048</c:v>
                </c:pt>
                <c:pt idx="63">
                  <c:v>2049</c:v>
                </c:pt>
                <c:pt idx="64">
                  <c:v>2050</c:v>
                </c:pt>
              </c:numCache>
            </c:numRef>
          </c:cat>
          <c:val>
            <c:numRef>
              <c:f>'2. Industry'!$D$8:$D$42</c:f>
              <c:numCache>
                <c:formatCode>_(* #,##0.00_);_(* \(#,##0.00\);_(* "-"??_);_(@_)</c:formatCode>
                <c:ptCount val="35"/>
                <c:pt idx="0">
                  <c:v>13.782</c:v>
                </c:pt>
                <c:pt idx="1">
                  <c:v>16.617000000000001</c:v>
                </c:pt>
                <c:pt idx="2">
                  <c:v>18.693999999999999</c:v>
                </c:pt>
                <c:pt idx="3">
                  <c:v>20.512</c:v>
                </c:pt>
                <c:pt idx="4">
                  <c:v>22.329000000000001</c:v>
                </c:pt>
                <c:pt idx="5">
                  <c:v>22.783000000000001</c:v>
                </c:pt>
                <c:pt idx="6">
                  <c:v>24.254999999999999</c:v>
                </c:pt>
                <c:pt idx="7">
                  <c:v>26.44</c:v>
                </c:pt>
                <c:pt idx="8">
                  <c:v>29.684999999999999</c:v>
                </c:pt>
                <c:pt idx="9">
                  <c:v>33.19</c:v>
                </c:pt>
                <c:pt idx="10">
                  <c:v>32.973999999999997</c:v>
                </c:pt>
                <c:pt idx="11">
                  <c:v>35.872999999999998</c:v>
                </c:pt>
                <c:pt idx="12">
                  <c:v>34.899000000000001</c:v>
                </c:pt>
                <c:pt idx="13">
                  <c:v>40.698</c:v>
                </c:pt>
                <c:pt idx="14">
                  <c:v>48.378999999999998</c:v>
                </c:pt>
                <c:pt idx="15">
                  <c:v>39.378999999999998</c:v>
                </c:pt>
                <c:pt idx="16">
                  <c:v>43.359000000000002</c:v>
                </c:pt>
                <c:pt idx="17">
                  <c:v>47.34</c:v>
                </c:pt>
                <c:pt idx="18">
                  <c:v>54.069000000000003</c:v>
                </c:pt>
                <c:pt idx="19">
                  <c:v>61.923000000000002</c:v>
                </c:pt>
                <c:pt idx="20">
                  <c:v>67.116</c:v>
                </c:pt>
                <c:pt idx="21">
                  <c:v>66.293999999999997</c:v>
                </c:pt>
                <c:pt idx="22">
                  <c:v>59.176000000000002</c:v>
                </c:pt>
                <c:pt idx="23">
                  <c:v>60.625999999999998</c:v>
                </c:pt>
                <c:pt idx="24">
                  <c:v>76.182000000000002</c:v>
                </c:pt>
                <c:pt idx="25">
                  <c:v>83.293999999999997</c:v>
                </c:pt>
                <c:pt idx="26">
                  <c:v>83.111000000000004</c:v>
                </c:pt>
                <c:pt idx="27">
                  <c:v>89.049000000000007</c:v>
                </c:pt>
                <c:pt idx="28">
                  <c:v>88.019000000000005</c:v>
                </c:pt>
                <c:pt idx="29">
                  <c:v>82.552999999999997</c:v>
                </c:pt>
                <c:pt idx="30">
                  <c:v>92.265000000000001</c:v>
                </c:pt>
                <c:pt idx="31">
                  <c:v>97.581000000000003</c:v>
                </c:pt>
                <c:pt idx="32">
                  <c:v>102.051</c:v>
                </c:pt>
                <c:pt idx="33">
                  <c:v>97.947000000000003</c:v>
                </c:pt>
                <c:pt idx="34">
                  <c:v>109.14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33-42AB-B635-1221BFEE46F9}"/>
            </c:ext>
          </c:extLst>
        </c:ser>
        <c:ser>
          <c:idx val="0"/>
          <c:order val="1"/>
          <c:tx>
            <c:strRef>
              <c:f>'2. Industry'!$I$7</c:f>
              <c:strCache>
                <c:ptCount val="1"/>
                <c:pt idx="0">
                  <c:v>Forecast(IIP)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'2. Industry'!$B$8:$B$72</c:f>
              <c:numCache>
                <c:formatCode>General</c:formatCode>
                <c:ptCount val="65"/>
                <c:pt idx="0">
                  <c:v>1986</c:v>
                </c:pt>
                <c:pt idx="1">
                  <c:v>1987</c:v>
                </c:pt>
                <c:pt idx="2">
                  <c:v>1988</c:v>
                </c:pt>
                <c:pt idx="3">
                  <c:v>1989</c:v>
                </c:pt>
                <c:pt idx="4">
                  <c:v>1990</c:v>
                </c:pt>
                <c:pt idx="5">
                  <c:v>1991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  <c:pt idx="21">
                  <c:v>2007</c:v>
                </c:pt>
                <c:pt idx="22">
                  <c:v>2008</c:v>
                </c:pt>
                <c:pt idx="23">
                  <c:v>2009</c:v>
                </c:pt>
                <c:pt idx="24">
                  <c:v>2010</c:v>
                </c:pt>
                <c:pt idx="25">
                  <c:v>2011</c:v>
                </c:pt>
                <c:pt idx="26">
                  <c:v>2012</c:v>
                </c:pt>
                <c:pt idx="27">
                  <c:v>2013</c:v>
                </c:pt>
                <c:pt idx="28">
                  <c:v>2014</c:v>
                </c:pt>
                <c:pt idx="29">
                  <c:v>2015</c:v>
                </c:pt>
                <c:pt idx="30">
                  <c:v>2016</c:v>
                </c:pt>
                <c:pt idx="31">
                  <c:v>2017</c:v>
                </c:pt>
                <c:pt idx="32">
                  <c:v>2018</c:v>
                </c:pt>
                <c:pt idx="33">
                  <c:v>2019</c:v>
                </c:pt>
                <c:pt idx="34">
                  <c:v>2020</c:v>
                </c:pt>
                <c:pt idx="35">
                  <c:v>2021</c:v>
                </c:pt>
                <c:pt idx="36">
                  <c:v>2022</c:v>
                </c:pt>
                <c:pt idx="37">
                  <c:v>2023</c:v>
                </c:pt>
                <c:pt idx="38">
                  <c:v>2024</c:v>
                </c:pt>
                <c:pt idx="39">
                  <c:v>2025</c:v>
                </c:pt>
                <c:pt idx="40">
                  <c:v>2026</c:v>
                </c:pt>
                <c:pt idx="41">
                  <c:v>2027</c:v>
                </c:pt>
                <c:pt idx="42">
                  <c:v>2028</c:v>
                </c:pt>
                <c:pt idx="43">
                  <c:v>2029</c:v>
                </c:pt>
                <c:pt idx="44">
                  <c:v>2030</c:v>
                </c:pt>
                <c:pt idx="45">
                  <c:v>2031</c:v>
                </c:pt>
                <c:pt idx="46">
                  <c:v>2032</c:v>
                </c:pt>
                <c:pt idx="47">
                  <c:v>2033</c:v>
                </c:pt>
                <c:pt idx="48">
                  <c:v>2034</c:v>
                </c:pt>
                <c:pt idx="49">
                  <c:v>2035</c:v>
                </c:pt>
                <c:pt idx="50">
                  <c:v>2036</c:v>
                </c:pt>
                <c:pt idx="51">
                  <c:v>2037</c:v>
                </c:pt>
                <c:pt idx="52">
                  <c:v>2038</c:v>
                </c:pt>
                <c:pt idx="53">
                  <c:v>2039</c:v>
                </c:pt>
                <c:pt idx="54">
                  <c:v>2040</c:v>
                </c:pt>
                <c:pt idx="55">
                  <c:v>2041</c:v>
                </c:pt>
                <c:pt idx="56">
                  <c:v>2042</c:v>
                </c:pt>
                <c:pt idx="57">
                  <c:v>2043</c:v>
                </c:pt>
                <c:pt idx="58">
                  <c:v>2044</c:v>
                </c:pt>
                <c:pt idx="59">
                  <c:v>2045</c:v>
                </c:pt>
                <c:pt idx="60">
                  <c:v>2046</c:v>
                </c:pt>
                <c:pt idx="61">
                  <c:v>2047</c:v>
                </c:pt>
                <c:pt idx="62">
                  <c:v>2048</c:v>
                </c:pt>
                <c:pt idx="63">
                  <c:v>2049</c:v>
                </c:pt>
                <c:pt idx="64">
                  <c:v>2050</c:v>
                </c:pt>
              </c:numCache>
            </c:numRef>
          </c:cat>
          <c:val>
            <c:numRef>
              <c:f>'2. Industry'!$I$8:$I$72</c:f>
              <c:numCache>
                <c:formatCode>_-* #,##0_-;\-* #,##0_-;_-* "-"??_-;_-@_-</c:formatCode>
                <c:ptCount val="65"/>
                <c:pt idx="34" formatCode="_(* #,##0.00_);_(* \(#,##0.00\);_(* &quot;-&quot;??_);_(@_)">
                  <c:v>109.14</c:v>
                </c:pt>
                <c:pt idx="35" formatCode="_(* #,##0.00_);_(* \(#,##0.00\);_(* &quot;-&quot;??_);_(@_)">
                  <c:v>111.12994733058339</c:v>
                </c:pt>
                <c:pt idx="36" formatCode="_(* #,##0.00_);_(* \(#,##0.00\);_(* &quot;-&quot;??_);_(@_)">
                  <c:v>113.89663027250091</c:v>
                </c:pt>
                <c:pt idx="37" formatCode="_(* #,##0.00_);_(* \(#,##0.00\);_(* &quot;-&quot;??_);_(@_)">
                  <c:v>116.66331321441845</c:v>
                </c:pt>
                <c:pt idx="38" formatCode="_(* #,##0.00_);_(* \(#,##0.00\);_(* &quot;-&quot;??_);_(@_)">
                  <c:v>119.42999615633599</c:v>
                </c:pt>
                <c:pt idx="39" formatCode="_(* #,##0.00_);_(* \(#,##0.00\);_(* &quot;-&quot;??_);_(@_)">
                  <c:v>122.19667909825351</c:v>
                </c:pt>
                <c:pt idx="40" formatCode="_(* #,##0.00_);_(* \(#,##0.00\);_(* &quot;-&quot;??_);_(@_)">
                  <c:v>124.96336204017105</c:v>
                </c:pt>
                <c:pt idx="41" formatCode="_(* #,##0.00_);_(* \(#,##0.00\);_(* &quot;-&quot;??_);_(@_)">
                  <c:v>127.73004498208857</c:v>
                </c:pt>
                <c:pt idx="42" formatCode="_(* #,##0.00_);_(* \(#,##0.00\);_(* &quot;-&quot;??_);_(@_)">
                  <c:v>130.49672792400611</c:v>
                </c:pt>
                <c:pt idx="43" formatCode="_(* #,##0.00_);_(* \(#,##0.00\);_(* &quot;-&quot;??_);_(@_)">
                  <c:v>133.26341086592365</c:v>
                </c:pt>
                <c:pt idx="44" formatCode="_(* #,##0.00_);_(* \(#,##0.00\);_(* &quot;-&quot;??_);_(@_)">
                  <c:v>136.03009380784118</c:v>
                </c:pt>
                <c:pt idx="45" formatCode="_(* #,##0.00_);_(* \(#,##0.00\);_(* &quot;-&quot;??_);_(@_)">
                  <c:v>138.79677674975872</c:v>
                </c:pt>
                <c:pt idx="46" formatCode="_(* #,##0.00_);_(* \(#,##0.00\);_(* &quot;-&quot;??_);_(@_)">
                  <c:v>141.56345969167626</c:v>
                </c:pt>
                <c:pt idx="47" formatCode="_(* #,##0.00_);_(* \(#,##0.00\);_(* &quot;-&quot;??_);_(@_)">
                  <c:v>144.33014263359377</c:v>
                </c:pt>
                <c:pt idx="48" formatCode="_(* #,##0.00_);_(* \(#,##0.00\);_(* &quot;-&quot;??_);_(@_)">
                  <c:v>147.0968255755113</c:v>
                </c:pt>
                <c:pt idx="49" formatCode="_(* #,##0.00_);_(* \(#,##0.00\);_(* &quot;-&quot;??_);_(@_)">
                  <c:v>149.86350851742884</c:v>
                </c:pt>
                <c:pt idx="50" formatCode="_(* #,##0.00_);_(* \(#,##0.00\);_(* &quot;-&quot;??_);_(@_)">
                  <c:v>152.63019145934638</c:v>
                </c:pt>
                <c:pt idx="51" formatCode="_(* #,##0.00_);_(* \(#,##0.00\);_(* &quot;-&quot;??_);_(@_)">
                  <c:v>155.39687440126391</c:v>
                </c:pt>
                <c:pt idx="52" formatCode="_(* #,##0.00_);_(* \(#,##0.00\);_(* &quot;-&quot;??_);_(@_)">
                  <c:v>158.16355734318142</c:v>
                </c:pt>
                <c:pt idx="53" formatCode="_(* #,##0.00_);_(* \(#,##0.00\);_(* &quot;-&quot;??_);_(@_)">
                  <c:v>160.93024028509896</c:v>
                </c:pt>
                <c:pt idx="54" formatCode="_(* #,##0.00_);_(* \(#,##0.00\);_(* &quot;-&quot;??_);_(@_)">
                  <c:v>163.6969232270165</c:v>
                </c:pt>
                <c:pt idx="55" formatCode="_(* #,##0.00_);_(* \(#,##0.00\);_(* &quot;-&quot;??_);_(@_)">
                  <c:v>166.46360616893404</c:v>
                </c:pt>
                <c:pt idx="56" formatCode="_(* #,##0.00_);_(* \(#,##0.00\);_(* &quot;-&quot;??_);_(@_)">
                  <c:v>169.23028911085157</c:v>
                </c:pt>
                <c:pt idx="57" formatCode="_(* #,##0.00_);_(* \(#,##0.00\);_(* &quot;-&quot;??_);_(@_)">
                  <c:v>171.99697205276908</c:v>
                </c:pt>
                <c:pt idx="58" formatCode="_(* #,##0.00_);_(* \(#,##0.00\);_(* &quot;-&quot;??_);_(@_)">
                  <c:v>174.76365499468665</c:v>
                </c:pt>
                <c:pt idx="59" formatCode="_(* #,##0.00_);_(* \(#,##0.00\);_(* &quot;-&quot;??_);_(@_)">
                  <c:v>177.53033793660416</c:v>
                </c:pt>
                <c:pt idx="60" formatCode="_(* #,##0.00_);_(* \(#,##0.00\);_(* &quot;-&quot;??_);_(@_)">
                  <c:v>180.29702087852169</c:v>
                </c:pt>
                <c:pt idx="61" formatCode="_(* #,##0.00_);_(* \(#,##0.00\);_(* &quot;-&quot;??_);_(@_)">
                  <c:v>183.06370382043923</c:v>
                </c:pt>
                <c:pt idx="62" formatCode="_(* #,##0.00_);_(* \(#,##0.00\);_(* &quot;-&quot;??_);_(@_)">
                  <c:v>185.83038676235674</c:v>
                </c:pt>
                <c:pt idx="63" formatCode="_(* #,##0.00_);_(* \(#,##0.00\);_(* &quot;-&quot;??_);_(@_)">
                  <c:v>188.5970697042743</c:v>
                </c:pt>
                <c:pt idx="64" formatCode="_(* #,##0.00_);_(* \(#,##0.00\);_(* &quot;-&quot;??_);_(@_)">
                  <c:v>191.36375264619181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33-42AB-B635-1221BFEE46F9}"/>
            </c:ext>
          </c:extLst>
        </c:ser>
        <c:ser>
          <c:idx val="3"/>
          <c:order val="2"/>
          <c:tx>
            <c:strRef>
              <c:f>'2. Industry'!$J$7</c:f>
              <c:strCache>
                <c:ptCount val="1"/>
                <c:pt idx="0">
                  <c:v>Lower Confidence Bound(IIP)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'2. Industry'!$B$8:$B$72</c:f>
              <c:numCache>
                <c:formatCode>General</c:formatCode>
                <c:ptCount val="65"/>
                <c:pt idx="0">
                  <c:v>1986</c:v>
                </c:pt>
                <c:pt idx="1">
                  <c:v>1987</c:v>
                </c:pt>
                <c:pt idx="2">
                  <c:v>1988</c:v>
                </c:pt>
                <c:pt idx="3">
                  <c:v>1989</c:v>
                </c:pt>
                <c:pt idx="4">
                  <c:v>1990</c:v>
                </c:pt>
                <c:pt idx="5">
                  <c:v>1991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  <c:pt idx="21">
                  <c:v>2007</c:v>
                </c:pt>
                <c:pt idx="22">
                  <c:v>2008</c:v>
                </c:pt>
                <c:pt idx="23">
                  <c:v>2009</c:v>
                </c:pt>
                <c:pt idx="24">
                  <c:v>2010</c:v>
                </c:pt>
                <c:pt idx="25">
                  <c:v>2011</c:v>
                </c:pt>
                <c:pt idx="26">
                  <c:v>2012</c:v>
                </c:pt>
                <c:pt idx="27">
                  <c:v>2013</c:v>
                </c:pt>
                <c:pt idx="28">
                  <c:v>2014</c:v>
                </c:pt>
                <c:pt idx="29">
                  <c:v>2015</c:v>
                </c:pt>
                <c:pt idx="30">
                  <c:v>2016</c:v>
                </c:pt>
                <c:pt idx="31">
                  <c:v>2017</c:v>
                </c:pt>
                <c:pt idx="32">
                  <c:v>2018</c:v>
                </c:pt>
                <c:pt idx="33">
                  <c:v>2019</c:v>
                </c:pt>
                <c:pt idx="34">
                  <c:v>2020</c:v>
                </c:pt>
                <c:pt idx="35">
                  <c:v>2021</c:v>
                </c:pt>
                <c:pt idx="36">
                  <c:v>2022</c:v>
                </c:pt>
                <c:pt idx="37">
                  <c:v>2023</c:v>
                </c:pt>
                <c:pt idx="38">
                  <c:v>2024</c:v>
                </c:pt>
                <c:pt idx="39">
                  <c:v>2025</c:v>
                </c:pt>
                <c:pt idx="40">
                  <c:v>2026</c:v>
                </c:pt>
                <c:pt idx="41">
                  <c:v>2027</c:v>
                </c:pt>
                <c:pt idx="42">
                  <c:v>2028</c:v>
                </c:pt>
                <c:pt idx="43">
                  <c:v>2029</c:v>
                </c:pt>
                <c:pt idx="44">
                  <c:v>2030</c:v>
                </c:pt>
                <c:pt idx="45">
                  <c:v>2031</c:v>
                </c:pt>
                <c:pt idx="46">
                  <c:v>2032</c:v>
                </c:pt>
                <c:pt idx="47">
                  <c:v>2033</c:v>
                </c:pt>
                <c:pt idx="48">
                  <c:v>2034</c:v>
                </c:pt>
                <c:pt idx="49">
                  <c:v>2035</c:v>
                </c:pt>
                <c:pt idx="50">
                  <c:v>2036</c:v>
                </c:pt>
                <c:pt idx="51">
                  <c:v>2037</c:v>
                </c:pt>
                <c:pt idx="52">
                  <c:v>2038</c:v>
                </c:pt>
                <c:pt idx="53">
                  <c:v>2039</c:v>
                </c:pt>
                <c:pt idx="54">
                  <c:v>2040</c:v>
                </c:pt>
                <c:pt idx="55">
                  <c:v>2041</c:v>
                </c:pt>
                <c:pt idx="56">
                  <c:v>2042</c:v>
                </c:pt>
                <c:pt idx="57">
                  <c:v>2043</c:v>
                </c:pt>
                <c:pt idx="58">
                  <c:v>2044</c:v>
                </c:pt>
                <c:pt idx="59">
                  <c:v>2045</c:v>
                </c:pt>
                <c:pt idx="60">
                  <c:v>2046</c:v>
                </c:pt>
                <c:pt idx="61">
                  <c:v>2047</c:v>
                </c:pt>
                <c:pt idx="62">
                  <c:v>2048</c:v>
                </c:pt>
                <c:pt idx="63">
                  <c:v>2049</c:v>
                </c:pt>
                <c:pt idx="64">
                  <c:v>2050</c:v>
                </c:pt>
              </c:numCache>
            </c:numRef>
          </c:cat>
          <c:val>
            <c:numRef>
              <c:f>'2. Industry'!$J$8:$J$72</c:f>
              <c:numCache>
                <c:formatCode>_-* #,##0_-;\-* #,##0_-;_-* "-"??_-;_-@_-</c:formatCode>
                <c:ptCount val="65"/>
                <c:pt idx="34" formatCode="_(* #,##0.00_);_(* \(#,##0.00\);_(* &quot;-&quot;??_);_(@_)">
                  <c:v>109.14</c:v>
                </c:pt>
                <c:pt idx="35" formatCode="_(* #,##0.00_);_(* \(#,##0.00\);_(* &quot;-&quot;??_);_(@_)">
                  <c:v>101.64927344995586</c:v>
                </c:pt>
                <c:pt idx="36" formatCode="_(* #,##0.00_);_(* \(#,##0.00\);_(* &quot;-&quot;??_);_(@_)">
                  <c:v>101.13534388005739</c:v>
                </c:pt>
                <c:pt idx="37" formatCode="_(* #,##0.00_);_(* \(#,##0.00\);_(* &quot;-&quot;??_);_(@_)">
                  <c:v>101.30168104470215</c:v>
                </c:pt>
                <c:pt idx="38" formatCode="_(* #,##0.00_);_(* \(#,##0.00\);_(* &quot;-&quot;??_);_(@_)">
                  <c:v>101.8438853133934</c:v>
                </c:pt>
                <c:pt idx="39" formatCode="_(* #,##0.00_);_(* \(#,##0.00\);_(* &quot;-&quot;??_);_(@_)">
                  <c:v>102.63331371434988</c:v>
                </c:pt>
                <c:pt idx="40" formatCode="_(* #,##0.00_);_(* \(#,##0.00\);_(* &quot;-&quot;??_);_(@_)">
                  <c:v>103.60120310490457</c:v>
                </c:pt>
                <c:pt idx="41" formatCode="_(* #,##0.00_);_(* \(#,##0.00\);_(* &quot;-&quot;??_);_(@_)">
                  <c:v>104.70568436032499</c:v>
                </c:pt>
                <c:pt idx="42" formatCode="_(* #,##0.00_);_(* \(#,##0.00\);_(* &quot;-&quot;??_);_(@_)">
                  <c:v>105.91902485991226</c:v>
                </c:pt>
                <c:pt idx="43" formatCode="_(* #,##0.00_);_(* \(#,##0.00\);_(* &quot;-&quot;??_);_(@_)">
                  <c:v>107.22173404319977</c:v>
                </c:pt>
                <c:pt idx="44" formatCode="_(* #,##0.00_);_(* \(#,##0.00\);_(* &quot;-&quot;??_);_(@_)">
                  <c:v>108.59949605087192</c:v>
                </c:pt>
                <c:pt idx="45" formatCode="_(* #,##0.00_);_(* \(#,##0.00\);_(* &quot;-&quot;??_);_(@_)">
                  <c:v>110.0414302491602</c:v>
                </c:pt>
                <c:pt idx="46" formatCode="_(* #,##0.00_);_(* \(#,##0.00\);_(* &quot;-&quot;??_);_(@_)">
                  <c:v>111.53903815353407</c:v>
                </c:pt>
                <c:pt idx="47" formatCode="_(* #,##0.00_);_(* \(#,##0.00\);_(* &quot;-&quot;??_);_(@_)">
                  <c:v>113.08553218534649</c:v>
                </c:pt>
                <c:pt idx="48" formatCode="_(* #,##0.00_);_(* \(#,##0.00\);_(* &quot;-&quot;??_);_(@_)">
                  <c:v>114.67538957671826</c:v>
                </c:pt>
                <c:pt idx="49" formatCode="_(* #,##0.00_);_(* \(#,##0.00\);_(* &quot;-&quot;??_);_(@_)">
                  <c:v>116.30404548612057</c:v>
                </c:pt>
                <c:pt idx="50" formatCode="_(* #,##0.00_);_(* \(#,##0.00\);_(* &quot;-&quot;??_);_(@_)">
                  <c:v>117.9676756532654</c:v>
                </c:pt>
                <c:pt idx="51" formatCode="_(* #,##0.00_);_(* \(#,##0.00\);_(* &quot;-&quot;??_);_(@_)">
                  <c:v>119.66303859874489</c:v>
                </c:pt>
                <c:pt idx="52" formatCode="_(* #,##0.00_);_(* \(#,##0.00\);_(* &quot;-&quot;??_);_(@_)">
                  <c:v>121.38735857033606</c:v>
                </c:pt>
                <c:pt idx="53" formatCode="_(* #,##0.00_);_(* \(#,##0.00\);_(* &quot;-&quot;??_);_(@_)">
                  <c:v>123.13823707240208</c:v>
                </c:pt>
                <c:pt idx="54" formatCode="_(* #,##0.00_);_(* \(#,##0.00\);_(* &quot;-&quot;??_);_(@_)">
                  <c:v>124.91358488600046</c:v>
                </c:pt>
                <c:pt idx="55" formatCode="_(* #,##0.00_);_(* \(#,##0.00\);_(* &quot;-&quot;??_);_(@_)">
                  <c:v>126.7115690628701</c:v>
                </c:pt>
                <c:pt idx="56" formatCode="_(* #,##0.00_);_(* \(#,##0.00\);_(* &quot;-&quot;??_);_(@_)">
                  <c:v>128.53057105016561</c:v>
                </c:pt>
                <c:pt idx="57" formatCode="_(* #,##0.00_);_(* \(#,##0.00\);_(* &quot;-&quot;??_);_(@_)">
                  <c:v>130.36915321665415</c:v>
                </c:pt>
                <c:pt idx="58" formatCode="_(* #,##0.00_);_(* \(#,##0.00\);_(* &quot;-&quot;??_);_(@_)">
                  <c:v>132.22603180829464</c:v>
                </c:pt>
                <c:pt idx="59" formatCode="_(* #,##0.00_);_(* \(#,##0.00\);_(* &quot;-&quot;??_);_(@_)">
                  <c:v>134.10005488582391</c:v>
                </c:pt>
                <c:pt idx="60" formatCode="_(* #,##0.00_);_(* \(#,##0.00\);_(* &quot;-&quot;??_);_(@_)">
                  <c:v>135.99018416691473</c:v>
                </c:pt>
                <c:pt idx="61" formatCode="_(* #,##0.00_);_(* \(#,##0.00\);_(* &quot;-&quot;??_);_(@_)">
                  <c:v>137.89547996042705</c:v>
                </c:pt>
                <c:pt idx="62" formatCode="_(* #,##0.00_);_(* \(#,##0.00\);_(* &quot;-&quot;??_);_(@_)">
                  <c:v>139.81508857278993</c:v>
                </c:pt>
                <c:pt idx="63" formatCode="_(* #,##0.00_);_(* \(#,##0.00\);_(* &quot;-&quot;??_);_(@_)">
                  <c:v>141.74823170827818</c:v>
                </c:pt>
                <c:pt idx="64" formatCode="_(* #,##0.00_);_(* \(#,##0.00\);_(* &quot;-&quot;??_);_(@_)">
                  <c:v>143.69419749056289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33-42AB-B635-1221BFEE46F9}"/>
            </c:ext>
          </c:extLst>
        </c:ser>
        <c:ser>
          <c:idx val="4"/>
          <c:order val="3"/>
          <c:tx>
            <c:strRef>
              <c:f>'2. Industry'!$K$7</c:f>
              <c:strCache>
                <c:ptCount val="1"/>
                <c:pt idx="0">
                  <c:v>Upper Confidence Bound(IIP)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'2. Industry'!$B$8:$B$72</c:f>
              <c:numCache>
                <c:formatCode>General</c:formatCode>
                <c:ptCount val="65"/>
                <c:pt idx="0">
                  <c:v>1986</c:v>
                </c:pt>
                <c:pt idx="1">
                  <c:v>1987</c:v>
                </c:pt>
                <c:pt idx="2">
                  <c:v>1988</c:v>
                </c:pt>
                <c:pt idx="3">
                  <c:v>1989</c:v>
                </c:pt>
                <c:pt idx="4">
                  <c:v>1990</c:v>
                </c:pt>
                <c:pt idx="5">
                  <c:v>1991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  <c:pt idx="21">
                  <c:v>2007</c:v>
                </c:pt>
                <c:pt idx="22">
                  <c:v>2008</c:v>
                </c:pt>
                <c:pt idx="23">
                  <c:v>2009</c:v>
                </c:pt>
                <c:pt idx="24">
                  <c:v>2010</c:v>
                </c:pt>
                <c:pt idx="25">
                  <c:v>2011</c:v>
                </c:pt>
                <c:pt idx="26">
                  <c:v>2012</c:v>
                </c:pt>
                <c:pt idx="27">
                  <c:v>2013</c:v>
                </c:pt>
                <c:pt idx="28">
                  <c:v>2014</c:v>
                </c:pt>
                <c:pt idx="29">
                  <c:v>2015</c:v>
                </c:pt>
                <c:pt idx="30">
                  <c:v>2016</c:v>
                </c:pt>
                <c:pt idx="31">
                  <c:v>2017</c:v>
                </c:pt>
                <c:pt idx="32">
                  <c:v>2018</c:v>
                </c:pt>
                <c:pt idx="33">
                  <c:v>2019</c:v>
                </c:pt>
                <c:pt idx="34">
                  <c:v>2020</c:v>
                </c:pt>
                <c:pt idx="35">
                  <c:v>2021</c:v>
                </c:pt>
                <c:pt idx="36">
                  <c:v>2022</c:v>
                </c:pt>
                <c:pt idx="37">
                  <c:v>2023</c:v>
                </c:pt>
                <c:pt idx="38">
                  <c:v>2024</c:v>
                </c:pt>
                <c:pt idx="39">
                  <c:v>2025</c:v>
                </c:pt>
                <c:pt idx="40">
                  <c:v>2026</c:v>
                </c:pt>
                <c:pt idx="41">
                  <c:v>2027</c:v>
                </c:pt>
                <c:pt idx="42">
                  <c:v>2028</c:v>
                </c:pt>
                <c:pt idx="43">
                  <c:v>2029</c:v>
                </c:pt>
                <c:pt idx="44">
                  <c:v>2030</c:v>
                </c:pt>
                <c:pt idx="45">
                  <c:v>2031</c:v>
                </c:pt>
                <c:pt idx="46">
                  <c:v>2032</c:v>
                </c:pt>
                <c:pt idx="47">
                  <c:v>2033</c:v>
                </c:pt>
                <c:pt idx="48">
                  <c:v>2034</c:v>
                </c:pt>
                <c:pt idx="49">
                  <c:v>2035</c:v>
                </c:pt>
                <c:pt idx="50">
                  <c:v>2036</c:v>
                </c:pt>
                <c:pt idx="51">
                  <c:v>2037</c:v>
                </c:pt>
                <c:pt idx="52">
                  <c:v>2038</c:v>
                </c:pt>
                <c:pt idx="53">
                  <c:v>2039</c:v>
                </c:pt>
                <c:pt idx="54">
                  <c:v>2040</c:v>
                </c:pt>
                <c:pt idx="55">
                  <c:v>2041</c:v>
                </c:pt>
                <c:pt idx="56">
                  <c:v>2042</c:v>
                </c:pt>
                <c:pt idx="57">
                  <c:v>2043</c:v>
                </c:pt>
                <c:pt idx="58">
                  <c:v>2044</c:v>
                </c:pt>
                <c:pt idx="59">
                  <c:v>2045</c:v>
                </c:pt>
                <c:pt idx="60">
                  <c:v>2046</c:v>
                </c:pt>
                <c:pt idx="61">
                  <c:v>2047</c:v>
                </c:pt>
                <c:pt idx="62">
                  <c:v>2048</c:v>
                </c:pt>
                <c:pt idx="63">
                  <c:v>2049</c:v>
                </c:pt>
                <c:pt idx="64">
                  <c:v>2050</c:v>
                </c:pt>
              </c:numCache>
            </c:numRef>
          </c:cat>
          <c:val>
            <c:numRef>
              <c:f>'2. Industry'!$K$8:$K$72</c:f>
              <c:numCache>
                <c:formatCode>_-* #,##0_-;\-* #,##0_-;_-* "-"??_-;_-@_-</c:formatCode>
                <c:ptCount val="65"/>
                <c:pt idx="34" formatCode="_(* #,##0.00_);_(* \(#,##0.00\);_(* &quot;-&quot;??_);_(@_)">
                  <c:v>109.14</c:v>
                </c:pt>
                <c:pt idx="35" formatCode="_(* #,##0.00_);_(* \(#,##0.00\);_(* &quot;-&quot;??_);_(@_)">
                  <c:v>120.61062121121093</c:v>
                </c:pt>
                <c:pt idx="36" formatCode="_(* #,##0.00_);_(* \(#,##0.00\);_(* &quot;-&quot;??_);_(@_)">
                  <c:v>126.65791666494444</c:v>
                </c:pt>
                <c:pt idx="37" formatCode="_(* #,##0.00_);_(* \(#,##0.00\);_(* &quot;-&quot;??_);_(@_)">
                  <c:v>132.02494538413475</c:v>
                </c:pt>
                <c:pt idx="38" formatCode="_(* #,##0.00_);_(* \(#,##0.00\);_(* &quot;-&quot;??_);_(@_)">
                  <c:v>137.01610699927858</c:v>
                </c:pt>
                <c:pt idx="39" formatCode="_(* #,##0.00_);_(* \(#,##0.00\);_(* &quot;-&quot;??_);_(@_)">
                  <c:v>141.76004448215716</c:v>
                </c:pt>
                <c:pt idx="40" formatCode="_(* #,##0.00_);_(* \(#,##0.00\);_(* &quot;-&quot;??_);_(@_)">
                  <c:v>146.32552097543754</c:v>
                </c:pt>
                <c:pt idx="41" formatCode="_(* #,##0.00_);_(* \(#,##0.00\);_(* &quot;-&quot;??_);_(@_)">
                  <c:v>150.75440560385215</c:v>
                </c:pt>
                <c:pt idx="42" formatCode="_(* #,##0.00_);_(* \(#,##0.00\);_(* &quot;-&quot;??_);_(@_)">
                  <c:v>155.07443098809998</c:v>
                </c:pt>
                <c:pt idx="43" formatCode="_(* #,##0.00_);_(* \(#,##0.00\);_(* &quot;-&quot;??_);_(@_)">
                  <c:v>159.30508768864752</c:v>
                </c:pt>
                <c:pt idx="44" formatCode="_(* #,##0.00_);_(* \(#,##0.00\);_(* &quot;-&quot;??_);_(@_)">
                  <c:v>163.46069156481045</c:v>
                </c:pt>
                <c:pt idx="45" formatCode="_(* #,##0.00_);_(* \(#,##0.00\);_(* &quot;-&quot;??_);_(@_)">
                  <c:v>167.55212325035723</c:v>
                </c:pt>
                <c:pt idx="46" formatCode="_(* #,##0.00_);_(* \(#,##0.00\);_(* &quot;-&quot;??_);_(@_)">
                  <c:v>171.58788122981846</c:v>
                </c:pt>
                <c:pt idx="47" formatCode="_(* #,##0.00_);_(* \(#,##0.00\);_(* &quot;-&quot;??_);_(@_)">
                  <c:v>175.57475308184104</c:v>
                </c:pt>
                <c:pt idx="48" formatCode="_(* #,##0.00_);_(* \(#,##0.00\);_(* &quot;-&quot;??_);_(@_)">
                  <c:v>179.51826157430435</c:v>
                </c:pt>
                <c:pt idx="49" formatCode="_(* #,##0.00_);_(* \(#,##0.00\);_(* &quot;-&quot;??_);_(@_)">
                  <c:v>183.42297154873711</c:v>
                </c:pt>
                <c:pt idx="50" formatCode="_(* #,##0.00_);_(* \(#,##0.00\);_(* &quot;-&quot;??_);_(@_)">
                  <c:v>187.29270726542734</c:v>
                </c:pt>
                <c:pt idx="51" formatCode="_(* #,##0.00_);_(* \(#,##0.00\);_(* &quot;-&quot;??_);_(@_)">
                  <c:v>191.13071020378294</c:v>
                </c:pt>
                <c:pt idx="52" formatCode="_(* #,##0.00_);_(* \(#,##0.00\);_(* &quot;-&quot;??_);_(@_)">
                  <c:v>194.93975611602679</c:v>
                </c:pt>
                <c:pt idx="53" formatCode="_(* #,##0.00_);_(* \(#,##0.00\);_(* &quot;-&quot;??_);_(@_)">
                  <c:v>198.72224349779583</c:v>
                </c:pt>
                <c:pt idx="54" formatCode="_(* #,##0.00_);_(* \(#,##0.00\);_(* &quot;-&quot;??_);_(@_)">
                  <c:v>202.48026156803252</c:v>
                </c:pt>
                <c:pt idx="55" formatCode="_(* #,##0.00_);_(* \(#,##0.00\);_(* &quot;-&quot;??_);_(@_)">
                  <c:v>206.21564327499797</c:v>
                </c:pt>
                <c:pt idx="56" formatCode="_(* #,##0.00_);_(* \(#,##0.00\);_(* &quot;-&quot;??_);_(@_)">
                  <c:v>209.93000717153754</c:v>
                </c:pt>
                <c:pt idx="57" formatCode="_(* #,##0.00_);_(* \(#,##0.00\);_(* &quot;-&quot;??_);_(@_)">
                  <c:v>213.62479088888401</c:v>
                </c:pt>
                <c:pt idx="58" formatCode="_(* #,##0.00_);_(* \(#,##0.00\);_(* &quot;-&quot;??_);_(@_)">
                  <c:v>217.30127818107866</c:v>
                </c:pt>
                <c:pt idx="59" formatCode="_(* #,##0.00_);_(* \(#,##0.00\);_(* &quot;-&quot;??_);_(@_)">
                  <c:v>220.9606209873844</c:v>
                </c:pt>
                <c:pt idx="60" formatCode="_(* #,##0.00_);_(* \(#,##0.00\);_(* &quot;-&quot;??_);_(@_)">
                  <c:v>224.60385759012865</c:v>
                </c:pt>
                <c:pt idx="61" formatCode="_(* #,##0.00_);_(* \(#,##0.00\);_(* &quot;-&quot;??_);_(@_)">
                  <c:v>228.23192768045141</c:v>
                </c:pt>
                <c:pt idx="62" formatCode="_(* #,##0.00_);_(* \(#,##0.00\);_(* &quot;-&quot;??_);_(@_)">
                  <c:v>231.84568495192354</c:v>
                </c:pt>
                <c:pt idx="63" formatCode="_(* #,##0.00_);_(* \(#,##0.00\);_(* &quot;-&quot;??_);_(@_)">
                  <c:v>235.44590770027042</c:v>
                </c:pt>
                <c:pt idx="64" formatCode="_(* #,##0.00_);_(* \(#,##0.00\);_(* &quot;-&quot;??_);_(@_)">
                  <c:v>239.03330780182074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133-42AB-B635-1221BFEE4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6302607"/>
        <c:axId val="956287215"/>
      </c:lineChart>
      <c:catAx>
        <c:axId val="956302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287215"/>
        <c:crosses val="autoZero"/>
        <c:auto val="1"/>
        <c:lblAlgn val="ctr"/>
        <c:lblOffset val="100"/>
        <c:noMultiLvlLbl val="0"/>
      </c:catAx>
      <c:valAx>
        <c:axId val="956287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302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SG"/>
              <a:t>IIP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Industry</c:v>
          </c:tx>
          <c:spPr>
            <a:ln w="19050">
              <a:noFill/>
            </a:ln>
          </c:spPr>
          <c:xVal>
            <c:numRef>
              <c:f>'2. Industry'!$D$8:$D$41</c:f>
              <c:numCache>
                <c:formatCode>_(* #,##0.00_);_(* \(#,##0.00\);_(* "-"??_);_(@_)</c:formatCode>
                <c:ptCount val="34"/>
                <c:pt idx="0">
                  <c:v>13.782</c:v>
                </c:pt>
                <c:pt idx="1">
                  <c:v>16.617000000000001</c:v>
                </c:pt>
                <c:pt idx="2">
                  <c:v>18.693999999999999</c:v>
                </c:pt>
                <c:pt idx="3">
                  <c:v>20.512</c:v>
                </c:pt>
                <c:pt idx="4">
                  <c:v>22.329000000000001</c:v>
                </c:pt>
                <c:pt idx="5">
                  <c:v>22.783000000000001</c:v>
                </c:pt>
                <c:pt idx="6">
                  <c:v>24.254999999999999</c:v>
                </c:pt>
                <c:pt idx="7">
                  <c:v>26.44</c:v>
                </c:pt>
                <c:pt idx="8">
                  <c:v>29.684999999999999</c:v>
                </c:pt>
                <c:pt idx="9">
                  <c:v>33.19</c:v>
                </c:pt>
                <c:pt idx="10">
                  <c:v>32.973999999999997</c:v>
                </c:pt>
                <c:pt idx="11">
                  <c:v>35.872999999999998</c:v>
                </c:pt>
                <c:pt idx="12">
                  <c:v>34.899000000000001</c:v>
                </c:pt>
                <c:pt idx="13">
                  <c:v>40.698</c:v>
                </c:pt>
                <c:pt idx="14">
                  <c:v>48.378999999999998</c:v>
                </c:pt>
                <c:pt idx="15">
                  <c:v>39.378999999999998</c:v>
                </c:pt>
                <c:pt idx="16">
                  <c:v>43.359000000000002</c:v>
                </c:pt>
                <c:pt idx="17">
                  <c:v>47.34</c:v>
                </c:pt>
                <c:pt idx="18">
                  <c:v>54.069000000000003</c:v>
                </c:pt>
                <c:pt idx="19">
                  <c:v>61.923000000000002</c:v>
                </c:pt>
                <c:pt idx="20">
                  <c:v>67.116</c:v>
                </c:pt>
                <c:pt idx="21">
                  <c:v>66.293999999999997</c:v>
                </c:pt>
                <c:pt idx="22">
                  <c:v>59.176000000000002</c:v>
                </c:pt>
                <c:pt idx="23">
                  <c:v>60.625999999999998</c:v>
                </c:pt>
                <c:pt idx="24">
                  <c:v>76.182000000000002</c:v>
                </c:pt>
                <c:pt idx="25">
                  <c:v>83.293999999999997</c:v>
                </c:pt>
                <c:pt idx="26">
                  <c:v>83.111000000000004</c:v>
                </c:pt>
                <c:pt idx="27">
                  <c:v>89.049000000000007</c:v>
                </c:pt>
                <c:pt idx="28">
                  <c:v>88.019000000000005</c:v>
                </c:pt>
                <c:pt idx="29">
                  <c:v>82.552999999999997</c:v>
                </c:pt>
                <c:pt idx="30">
                  <c:v>92.265000000000001</c:v>
                </c:pt>
                <c:pt idx="31">
                  <c:v>97.581000000000003</c:v>
                </c:pt>
                <c:pt idx="32">
                  <c:v>102.051</c:v>
                </c:pt>
                <c:pt idx="33">
                  <c:v>97.947000000000003</c:v>
                </c:pt>
              </c:numCache>
            </c:numRef>
          </c:xVal>
          <c:yVal>
            <c:numRef>
              <c:f>'2. Industry'!$C$8:$C$41</c:f>
              <c:numCache>
                <c:formatCode>_-* #,##0_-;\-* #,##0_-;_-* "-"??_-;_-@_-</c:formatCode>
                <c:ptCount val="34"/>
                <c:pt idx="0">
                  <c:v>6831203</c:v>
                </c:pt>
                <c:pt idx="1">
                  <c:v>6409029</c:v>
                </c:pt>
                <c:pt idx="2">
                  <c:v>7537098</c:v>
                </c:pt>
                <c:pt idx="3">
                  <c:v>7840329</c:v>
                </c:pt>
                <c:pt idx="4">
                  <c:v>11769301</c:v>
                </c:pt>
                <c:pt idx="5">
                  <c:v>13049823</c:v>
                </c:pt>
                <c:pt idx="6">
                  <c:v>13251783</c:v>
                </c:pt>
                <c:pt idx="7">
                  <c:v>14284268</c:v>
                </c:pt>
                <c:pt idx="8">
                  <c:v>15055458</c:v>
                </c:pt>
                <c:pt idx="9">
                  <c:v>13928595</c:v>
                </c:pt>
                <c:pt idx="10">
                  <c:v>14902154</c:v>
                </c:pt>
                <c:pt idx="11">
                  <c:v>14984051</c:v>
                </c:pt>
                <c:pt idx="12">
                  <c:v>13880970</c:v>
                </c:pt>
                <c:pt idx="13">
                  <c:v>12770293</c:v>
                </c:pt>
                <c:pt idx="14">
                  <c:v>15028666</c:v>
                </c:pt>
                <c:pt idx="15">
                  <c:v>14970881</c:v>
                </c:pt>
                <c:pt idx="16">
                  <c:v>15522618</c:v>
                </c:pt>
                <c:pt idx="17">
                  <c:v>15322131</c:v>
                </c:pt>
                <c:pt idx="18">
                  <c:v>17601859</c:v>
                </c:pt>
                <c:pt idx="19">
                  <c:v>17140077</c:v>
                </c:pt>
                <c:pt idx="20">
                  <c:v>17811242</c:v>
                </c:pt>
                <c:pt idx="21">
                  <c:v>18426257</c:v>
                </c:pt>
                <c:pt idx="22">
                  <c:v>19023860</c:v>
                </c:pt>
                <c:pt idx="23">
                  <c:v>19832811</c:v>
                </c:pt>
                <c:pt idx="24">
                  <c:v>21316906</c:v>
                </c:pt>
                <c:pt idx="25">
                  <c:v>23073294</c:v>
                </c:pt>
                <c:pt idx="26">
                  <c:v>23134961</c:v>
                </c:pt>
                <c:pt idx="27">
                  <c:v>24013085</c:v>
                </c:pt>
                <c:pt idx="28">
                  <c:v>22981800</c:v>
                </c:pt>
                <c:pt idx="29">
                  <c:v>22147352</c:v>
                </c:pt>
                <c:pt idx="30">
                  <c:v>22244623</c:v>
                </c:pt>
                <c:pt idx="31">
                  <c:v>22885852</c:v>
                </c:pt>
                <c:pt idx="32">
                  <c:v>22741621</c:v>
                </c:pt>
                <c:pt idx="33">
                  <c:v>22682460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71-4E0F-A557-7E8F8087055A}"/>
            </c:ext>
          </c:extLst>
        </c:ser>
        <c:ser>
          <c:idx val="1"/>
          <c:order val="1"/>
          <c:tx>
            <c:v>Predicted Industry</c:v>
          </c:tx>
          <c:spPr>
            <a:ln w="19050">
              <a:noFill/>
            </a:ln>
          </c:spPr>
          <c:xVal>
            <c:numRef>
              <c:f>'2. Industry'!$D$8:$D$41</c:f>
              <c:numCache>
                <c:formatCode>_(* #,##0.00_);_(* \(#,##0.00\);_(* "-"??_);_(@_)</c:formatCode>
                <c:ptCount val="34"/>
                <c:pt idx="0">
                  <c:v>13.782</c:v>
                </c:pt>
                <c:pt idx="1">
                  <c:v>16.617000000000001</c:v>
                </c:pt>
                <c:pt idx="2">
                  <c:v>18.693999999999999</c:v>
                </c:pt>
                <c:pt idx="3">
                  <c:v>20.512</c:v>
                </c:pt>
                <c:pt idx="4">
                  <c:v>22.329000000000001</c:v>
                </c:pt>
                <c:pt idx="5">
                  <c:v>22.783000000000001</c:v>
                </c:pt>
                <c:pt idx="6">
                  <c:v>24.254999999999999</c:v>
                </c:pt>
                <c:pt idx="7">
                  <c:v>26.44</c:v>
                </c:pt>
                <c:pt idx="8">
                  <c:v>29.684999999999999</c:v>
                </c:pt>
                <c:pt idx="9">
                  <c:v>33.19</c:v>
                </c:pt>
                <c:pt idx="10">
                  <c:v>32.973999999999997</c:v>
                </c:pt>
                <c:pt idx="11">
                  <c:v>35.872999999999998</c:v>
                </c:pt>
                <c:pt idx="12">
                  <c:v>34.899000000000001</c:v>
                </c:pt>
                <c:pt idx="13">
                  <c:v>40.698</c:v>
                </c:pt>
                <c:pt idx="14">
                  <c:v>48.378999999999998</c:v>
                </c:pt>
                <c:pt idx="15">
                  <c:v>39.378999999999998</c:v>
                </c:pt>
                <c:pt idx="16">
                  <c:v>43.359000000000002</c:v>
                </c:pt>
                <c:pt idx="17">
                  <c:v>47.34</c:v>
                </c:pt>
                <c:pt idx="18">
                  <c:v>54.069000000000003</c:v>
                </c:pt>
                <c:pt idx="19">
                  <c:v>61.923000000000002</c:v>
                </c:pt>
                <c:pt idx="20">
                  <c:v>67.116</c:v>
                </c:pt>
                <c:pt idx="21">
                  <c:v>66.293999999999997</c:v>
                </c:pt>
                <c:pt idx="22">
                  <c:v>59.176000000000002</c:v>
                </c:pt>
                <c:pt idx="23">
                  <c:v>60.625999999999998</c:v>
                </c:pt>
                <c:pt idx="24">
                  <c:v>76.182000000000002</c:v>
                </c:pt>
                <c:pt idx="25">
                  <c:v>83.293999999999997</c:v>
                </c:pt>
                <c:pt idx="26">
                  <c:v>83.111000000000004</c:v>
                </c:pt>
                <c:pt idx="27">
                  <c:v>89.049000000000007</c:v>
                </c:pt>
                <c:pt idx="28">
                  <c:v>88.019000000000005</c:v>
                </c:pt>
                <c:pt idx="29">
                  <c:v>82.552999999999997</c:v>
                </c:pt>
                <c:pt idx="30">
                  <c:v>92.265000000000001</c:v>
                </c:pt>
                <c:pt idx="31">
                  <c:v>97.581000000000003</c:v>
                </c:pt>
                <c:pt idx="32">
                  <c:v>102.051</c:v>
                </c:pt>
                <c:pt idx="33">
                  <c:v>97.947000000000003</c:v>
                </c:pt>
              </c:numCache>
            </c:numRef>
          </c:xVal>
          <c:yVal>
            <c:numRef>
              <c:f>'2. Industry'!$R$30:$R$63</c:f>
              <c:numCache>
                <c:formatCode>General</c:formatCode>
                <c:ptCount val="34"/>
                <c:pt idx="0">
                  <c:v>9731482.9468687549</c:v>
                </c:pt>
                <c:pt idx="1">
                  <c:v>10224130.250178276</c:v>
                </c:pt>
                <c:pt idx="2">
                  <c:v>10585057.39267347</c:v>
                </c:pt>
                <c:pt idx="3">
                  <c:v>10900977.250668783</c:v>
                </c:pt>
                <c:pt idx="4">
                  <c:v>11216723.335364867</c:v>
                </c:pt>
                <c:pt idx="5">
                  <c:v>11295616.413214082</c:v>
                </c:pt>
                <c:pt idx="6">
                  <c:v>11551410.709676733</c:v>
                </c:pt>
                <c:pt idx="7">
                  <c:v>11931105.368488481</c:v>
                </c:pt>
                <c:pt idx="8">
                  <c:v>12494999.724481214</c:v>
                </c:pt>
                <c:pt idx="9">
                  <c:v>13104075.138273057</c:v>
                </c:pt>
                <c:pt idx="10">
                  <c:v>13066540.105639949</c:v>
                </c:pt>
                <c:pt idx="11">
                  <c:v>13570308.900100023</c:v>
                </c:pt>
                <c:pt idx="12">
                  <c:v>13401053.706652589</c:v>
                </c:pt>
                <c:pt idx="13">
                  <c:v>14408765.06887196</c:v>
                </c:pt>
                <c:pt idx="14">
                  <c:v>15743517.780237192</c:v>
                </c:pt>
                <c:pt idx="15">
                  <c:v>14179558.087191092</c:v>
                </c:pt>
                <c:pt idx="16">
                  <c:v>14871175.818115924</c:v>
                </c:pt>
                <c:pt idx="17">
                  <c:v>15562967.322339982</c:v>
                </c:pt>
                <c:pt idx="18">
                  <c:v>16732287.852840785</c:v>
                </c:pt>
                <c:pt idx="19">
                  <c:v>18097103.34497235</c:v>
                </c:pt>
                <c:pt idx="20">
                  <c:v>18999508.087859947</c:v>
                </c:pt>
                <c:pt idx="21">
                  <c:v>18856666.43589507</c:v>
                </c:pt>
                <c:pt idx="22">
                  <c:v>17619748.091994833</c:v>
                </c:pt>
                <c:pt idx="23">
                  <c:v>17871719.375874482</c:v>
                </c:pt>
                <c:pt idx="24">
                  <c:v>20574936.818655051</c:v>
                </c:pt>
                <c:pt idx="25">
                  <c:v>21810812.522759929</c:v>
                </c:pt>
                <c:pt idx="26">
                  <c:v>21779012.009001322</c:v>
                </c:pt>
                <c:pt idx="27">
                  <c:v>22810877.859813295</c:v>
                </c:pt>
                <c:pt idx="28">
                  <c:v>22631891.361609131</c:v>
                </c:pt>
                <c:pt idx="29">
                  <c:v>21682046.508032463</c:v>
                </c:pt>
                <c:pt idx="30">
                  <c:v>23369732.790128436</c:v>
                </c:pt>
                <c:pt idx="31">
                  <c:v>24293511.648820996</c:v>
                </c:pt>
                <c:pt idx="32">
                  <c:v>25070278.296367228</c:v>
                </c:pt>
                <c:pt idx="33">
                  <c:v>24357112.676338211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71-4E0F-A557-7E8F808705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5589487"/>
        <c:axId val="1495590735"/>
      </c:scatterChart>
      <c:valAx>
        <c:axId val="14955894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SG"/>
                  <a:t>IIP</a:t>
                </a:r>
              </a:p>
            </c:rich>
          </c:tx>
          <c:overlay val="0"/>
        </c:title>
        <c:numFmt formatCode="_(* #,##0.00_);_(* \(#,##0.00\);_(* &quot;-&quot;??_);_(@_)" sourceLinked="1"/>
        <c:majorTickMark val="out"/>
        <c:minorTickMark val="none"/>
        <c:tickLblPos val="nextTo"/>
        <c:crossAx val="1495590735"/>
        <c:crosses val="autoZero"/>
        <c:crossBetween val="midCat"/>
      </c:valAx>
      <c:valAx>
        <c:axId val="149559073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SG"/>
                  <a:t>Industry</a:t>
                </a:r>
              </a:p>
            </c:rich>
          </c:tx>
          <c:overlay val="0"/>
        </c:title>
        <c:numFmt formatCode="_-* #,##0_-;\-* #,##0_-;_-* &quot;-&quot;??_-;_-@_-" sourceLinked="1"/>
        <c:majorTickMark val="out"/>
        <c:minorTickMark val="none"/>
        <c:tickLblPos val="nextTo"/>
        <c:crossAx val="1495589487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 sz="1200"/>
              <a:t>Historical and Forecast Industrial Emission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'2. Industry'!$C$7</c:f>
              <c:strCache>
                <c:ptCount val="1"/>
                <c:pt idx="0">
                  <c:v>Industry Emission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'2. Industry'!$B$8:$B$72</c:f>
              <c:numCache>
                <c:formatCode>General</c:formatCode>
                <c:ptCount val="65"/>
                <c:pt idx="0">
                  <c:v>1986</c:v>
                </c:pt>
                <c:pt idx="1">
                  <c:v>1987</c:v>
                </c:pt>
                <c:pt idx="2">
                  <c:v>1988</c:v>
                </c:pt>
                <c:pt idx="3">
                  <c:v>1989</c:v>
                </c:pt>
                <c:pt idx="4">
                  <c:v>1990</c:v>
                </c:pt>
                <c:pt idx="5">
                  <c:v>1991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  <c:pt idx="21">
                  <c:v>2007</c:v>
                </c:pt>
                <c:pt idx="22">
                  <c:v>2008</c:v>
                </c:pt>
                <c:pt idx="23">
                  <c:v>2009</c:v>
                </c:pt>
                <c:pt idx="24">
                  <c:v>2010</c:v>
                </c:pt>
                <c:pt idx="25">
                  <c:v>2011</c:v>
                </c:pt>
                <c:pt idx="26">
                  <c:v>2012</c:v>
                </c:pt>
                <c:pt idx="27">
                  <c:v>2013</c:v>
                </c:pt>
                <c:pt idx="28">
                  <c:v>2014</c:v>
                </c:pt>
                <c:pt idx="29">
                  <c:v>2015</c:v>
                </c:pt>
                <c:pt idx="30">
                  <c:v>2016</c:v>
                </c:pt>
                <c:pt idx="31">
                  <c:v>2017</c:v>
                </c:pt>
                <c:pt idx="32">
                  <c:v>2018</c:v>
                </c:pt>
                <c:pt idx="33">
                  <c:v>2019</c:v>
                </c:pt>
                <c:pt idx="34">
                  <c:v>2020</c:v>
                </c:pt>
                <c:pt idx="35">
                  <c:v>2021</c:v>
                </c:pt>
                <c:pt idx="36">
                  <c:v>2022</c:v>
                </c:pt>
                <c:pt idx="37">
                  <c:v>2023</c:v>
                </c:pt>
                <c:pt idx="38">
                  <c:v>2024</c:v>
                </c:pt>
                <c:pt idx="39">
                  <c:v>2025</c:v>
                </c:pt>
                <c:pt idx="40">
                  <c:v>2026</c:v>
                </c:pt>
                <c:pt idx="41">
                  <c:v>2027</c:v>
                </c:pt>
                <c:pt idx="42">
                  <c:v>2028</c:v>
                </c:pt>
                <c:pt idx="43">
                  <c:v>2029</c:v>
                </c:pt>
                <c:pt idx="44">
                  <c:v>2030</c:v>
                </c:pt>
                <c:pt idx="45">
                  <c:v>2031</c:v>
                </c:pt>
                <c:pt idx="46">
                  <c:v>2032</c:v>
                </c:pt>
                <c:pt idx="47">
                  <c:v>2033</c:v>
                </c:pt>
                <c:pt idx="48">
                  <c:v>2034</c:v>
                </c:pt>
                <c:pt idx="49">
                  <c:v>2035</c:v>
                </c:pt>
                <c:pt idx="50">
                  <c:v>2036</c:v>
                </c:pt>
                <c:pt idx="51">
                  <c:v>2037</c:v>
                </c:pt>
                <c:pt idx="52">
                  <c:v>2038</c:v>
                </c:pt>
                <c:pt idx="53">
                  <c:v>2039</c:v>
                </c:pt>
                <c:pt idx="54">
                  <c:v>2040</c:v>
                </c:pt>
                <c:pt idx="55">
                  <c:v>2041</c:v>
                </c:pt>
                <c:pt idx="56">
                  <c:v>2042</c:v>
                </c:pt>
                <c:pt idx="57">
                  <c:v>2043</c:v>
                </c:pt>
                <c:pt idx="58">
                  <c:v>2044</c:v>
                </c:pt>
                <c:pt idx="59">
                  <c:v>2045</c:v>
                </c:pt>
                <c:pt idx="60">
                  <c:v>2046</c:v>
                </c:pt>
                <c:pt idx="61">
                  <c:v>2047</c:v>
                </c:pt>
                <c:pt idx="62">
                  <c:v>2048</c:v>
                </c:pt>
                <c:pt idx="63">
                  <c:v>2049</c:v>
                </c:pt>
                <c:pt idx="64">
                  <c:v>2050</c:v>
                </c:pt>
              </c:numCache>
            </c:numRef>
          </c:cat>
          <c:val>
            <c:numRef>
              <c:f>'2. Industry'!$C$8:$C$41</c:f>
              <c:numCache>
                <c:formatCode>_-* #,##0_-;\-* #,##0_-;_-* "-"??_-;_-@_-</c:formatCode>
                <c:ptCount val="34"/>
                <c:pt idx="0">
                  <c:v>6831203</c:v>
                </c:pt>
                <c:pt idx="1">
                  <c:v>6409029</c:v>
                </c:pt>
                <c:pt idx="2">
                  <c:v>7537098</c:v>
                </c:pt>
                <c:pt idx="3">
                  <c:v>7840329</c:v>
                </c:pt>
                <c:pt idx="4">
                  <c:v>11769301</c:v>
                </c:pt>
                <c:pt idx="5">
                  <c:v>13049823</c:v>
                </c:pt>
                <c:pt idx="6">
                  <c:v>13251783</c:v>
                </c:pt>
                <c:pt idx="7">
                  <c:v>14284268</c:v>
                </c:pt>
                <c:pt idx="8">
                  <c:v>15055458</c:v>
                </c:pt>
                <c:pt idx="9">
                  <c:v>13928595</c:v>
                </c:pt>
                <c:pt idx="10">
                  <c:v>14902154</c:v>
                </c:pt>
                <c:pt idx="11">
                  <c:v>14984051</c:v>
                </c:pt>
                <c:pt idx="12">
                  <c:v>13880970</c:v>
                </c:pt>
                <c:pt idx="13">
                  <c:v>12770293</c:v>
                </c:pt>
                <c:pt idx="14">
                  <c:v>15028666</c:v>
                </c:pt>
                <c:pt idx="15">
                  <c:v>14970881</c:v>
                </c:pt>
                <c:pt idx="16">
                  <c:v>15522618</c:v>
                </c:pt>
                <c:pt idx="17">
                  <c:v>15322131</c:v>
                </c:pt>
                <c:pt idx="18">
                  <c:v>17601859</c:v>
                </c:pt>
                <c:pt idx="19">
                  <c:v>17140077</c:v>
                </c:pt>
                <c:pt idx="20">
                  <c:v>17811242</c:v>
                </c:pt>
                <c:pt idx="21">
                  <c:v>18426257</c:v>
                </c:pt>
                <c:pt idx="22">
                  <c:v>19023860</c:v>
                </c:pt>
                <c:pt idx="23">
                  <c:v>19832811</c:v>
                </c:pt>
                <c:pt idx="24">
                  <c:v>21316906</c:v>
                </c:pt>
                <c:pt idx="25">
                  <c:v>23073294</c:v>
                </c:pt>
                <c:pt idx="26">
                  <c:v>23134961</c:v>
                </c:pt>
                <c:pt idx="27">
                  <c:v>24013085</c:v>
                </c:pt>
                <c:pt idx="28">
                  <c:v>22981800</c:v>
                </c:pt>
                <c:pt idx="29">
                  <c:v>22147352</c:v>
                </c:pt>
                <c:pt idx="30">
                  <c:v>22244623</c:v>
                </c:pt>
                <c:pt idx="31">
                  <c:v>22885852</c:v>
                </c:pt>
                <c:pt idx="32">
                  <c:v>22741621</c:v>
                </c:pt>
                <c:pt idx="33">
                  <c:v>22682460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26-4098-A6BA-713E4350D28F}"/>
            </c:ext>
          </c:extLst>
        </c:ser>
        <c:ser>
          <c:idx val="0"/>
          <c:order val="1"/>
          <c:tx>
            <c:strRef>
              <c:f>'2. Industry'!$M$7</c:f>
              <c:strCache>
                <c:ptCount val="1"/>
                <c:pt idx="0">
                  <c:v>Forecast Industrial Emission - Base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'2. Industry'!$B$8:$B$72</c:f>
              <c:numCache>
                <c:formatCode>General</c:formatCode>
                <c:ptCount val="65"/>
                <c:pt idx="0">
                  <c:v>1986</c:v>
                </c:pt>
                <c:pt idx="1">
                  <c:v>1987</c:v>
                </c:pt>
                <c:pt idx="2">
                  <c:v>1988</c:v>
                </c:pt>
                <c:pt idx="3">
                  <c:v>1989</c:v>
                </c:pt>
                <c:pt idx="4">
                  <c:v>1990</c:v>
                </c:pt>
                <c:pt idx="5">
                  <c:v>1991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  <c:pt idx="21">
                  <c:v>2007</c:v>
                </c:pt>
                <c:pt idx="22">
                  <c:v>2008</c:v>
                </c:pt>
                <c:pt idx="23">
                  <c:v>2009</c:v>
                </c:pt>
                <c:pt idx="24">
                  <c:v>2010</c:v>
                </c:pt>
                <c:pt idx="25">
                  <c:v>2011</c:v>
                </c:pt>
                <c:pt idx="26">
                  <c:v>2012</c:v>
                </c:pt>
                <c:pt idx="27">
                  <c:v>2013</c:v>
                </c:pt>
                <c:pt idx="28">
                  <c:v>2014</c:v>
                </c:pt>
                <c:pt idx="29">
                  <c:v>2015</c:v>
                </c:pt>
                <c:pt idx="30">
                  <c:v>2016</c:v>
                </c:pt>
                <c:pt idx="31">
                  <c:v>2017</c:v>
                </c:pt>
                <c:pt idx="32">
                  <c:v>2018</c:v>
                </c:pt>
                <c:pt idx="33">
                  <c:v>2019</c:v>
                </c:pt>
                <c:pt idx="34">
                  <c:v>2020</c:v>
                </c:pt>
                <c:pt idx="35">
                  <c:v>2021</c:v>
                </c:pt>
                <c:pt idx="36">
                  <c:v>2022</c:v>
                </c:pt>
                <c:pt idx="37">
                  <c:v>2023</c:v>
                </c:pt>
                <c:pt idx="38">
                  <c:v>2024</c:v>
                </c:pt>
                <c:pt idx="39">
                  <c:v>2025</c:v>
                </c:pt>
                <c:pt idx="40">
                  <c:v>2026</c:v>
                </c:pt>
                <c:pt idx="41">
                  <c:v>2027</c:v>
                </c:pt>
                <c:pt idx="42">
                  <c:v>2028</c:v>
                </c:pt>
                <c:pt idx="43">
                  <c:v>2029</c:v>
                </c:pt>
                <c:pt idx="44">
                  <c:v>2030</c:v>
                </c:pt>
                <c:pt idx="45">
                  <c:v>2031</c:v>
                </c:pt>
                <c:pt idx="46">
                  <c:v>2032</c:v>
                </c:pt>
                <c:pt idx="47">
                  <c:v>2033</c:v>
                </c:pt>
                <c:pt idx="48">
                  <c:v>2034</c:v>
                </c:pt>
                <c:pt idx="49">
                  <c:v>2035</c:v>
                </c:pt>
                <c:pt idx="50">
                  <c:v>2036</c:v>
                </c:pt>
                <c:pt idx="51">
                  <c:v>2037</c:v>
                </c:pt>
                <c:pt idx="52">
                  <c:v>2038</c:v>
                </c:pt>
                <c:pt idx="53">
                  <c:v>2039</c:v>
                </c:pt>
                <c:pt idx="54">
                  <c:v>2040</c:v>
                </c:pt>
                <c:pt idx="55">
                  <c:v>2041</c:v>
                </c:pt>
                <c:pt idx="56">
                  <c:v>2042</c:v>
                </c:pt>
                <c:pt idx="57">
                  <c:v>2043</c:v>
                </c:pt>
                <c:pt idx="58">
                  <c:v>2044</c:v>
                </c:pt>
                <c:pt idx="59">
                  <c:v>2045</c:v>
                </c:pt>
                <c:pt idx="60">
                  <c:v>2046</c:v>
                </c:pt>
                <c:pt idx="61">
                  <c:v>2047</c:v>
                </c:pt>
                <c:pt idx="62">
                  <c:v>2048</c:v>
                </c:pt>
                <c:pt idx="63">
                  <c:v>2049</c:v>
                </c:pt>
                <c:pt idx="64">
                  <c:v>2050</c:v>
                </c:pt>
              </c:numCache>
            </c:numRef>
          </c:cat>
          <c:val>
            <c:numRef>
              <c:f>'2. Industry'!$M$8:$M$72</c:f>
              <c:numCache>
                <c:formatCode>_-* #,##0_-;\-* #,##0_-;_-* "-"??_-;_-@_-</c:formatCode>
                <c:ptCount val="65"/>
                <c:pt idx="33">
                  <c:v>22682460</c:v>
                </c:pt>
                <c:pt idx="34">
                  <c:v>26302157.214589871</c:v>
                </c:pt>
                <c:pt idx="35">
                  <c:v>26647956.927514002</c:v>
                </c:pt>
                <c:pt idx="36">
                  <c:v>27128732.550247021</c:v>
                </c:pt>
                <c:pt idx="37">
                  <c:v>27609508.172980048</c:v>
                </c:pt>
                <c:pt idx="38">
                  <c:v>28090283.795713075</c:v>
                </c:pt>
                <c:pt idx="39">
                  <c:v>28571059.418446094</c:v>
                </c:pt>
                <c:pt idx="40">
                  <c:v>29051835.041179121</c:v>
                </c:pt>
                <c:pt idx="41">
                  <c:v>29532610.663912147</c:v>
                </c:pt>
                <c:pt idx="42">
                  <c:v>30013386.286645174</c:v>
                </c:pt>
                <c:pt idx="43">
                  <c:v>30494161.909378201</c:v>
                </c:pt>
                <c:pt idx="44">
                  <c:v>30974937.532111228</c:v>
                </c:pt>
                <c:pt idx="45">
                  <c:v>31455713.154844254</c:v>
                </c:pt>
                <c:pt idx="46">
                  <c:v>31936488.777577281</c:v>
                </c:pt>
                <c:pt idx="47">
                  <c:v>32417264.4003103</c:v>
                </c:pt>
                <c:pt idx="48">
                  <c:v>32898040.023043327</c:v>
                </c:pt>
                <c:pt idx="49">
                  <c:v>33378815.645776354</c:v>
                </c:pt>
                <c:pt idx="50">
                  <c:v>33859591.268509381</c:v>
                </c:pt>
                <c:pt idx="51">
                  <c:v>34340366.8912424</c:v>
                </c:pt>
                <c:pt idx="52">
                  <c:v>34821142.513975427</c:v>
                </c:pt>
                <c:pt idx="53">
                  <c:v>35301918.136708453</c:v>
                </c:pt>
                <c:pt idx="54">
                  <c:v>35782693.75944148</c:v>
                </c:pt>
                <c:pt idx="55">
                  <c:v>36263469.382174499</c:v>
                </c:pt>
                <c:pt idx="56">
                  <c:v>36744245.004907526</c:v>
                </c:pt>
                <c:pt idx="57">
                  <c:v>37225020.627640553</c:v>
                </c:pt>
                <c:pt idx="58">
                  <c:v>37705796.25037358</c:v>
                </c:pt>
                <c:pt idx="59">
                  <c:v>38186571.873106599</c:v>
                </c:pt>
                <c:pt idx="60">
                  <c:v>38667347.495839626</c:v>
                </c:pt>
                <c:pt idx="61">
                  <c:v>39148123.118572652</c:v>
                </c:pt>
                <c:pt idx="62">
                  <c:v>39628898.741305672</c:v>
                </c:pt>
                <c:pt idx="63">
                  <c:v>40109674.364038706</c:v>
                </c:pt>
                <c:pt idx="64">
                  <c:v>40590449.986771725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26-4098-A6BA-713E4350D28F}"/>
            </c:ext>
          </c:extLst>
        </c:ser>
        <c:ser>
          <c:idx val="3"/>
          <c:order val="2"/>
          <c:tx>
            <c:strRef>
              <c:f>'2. Industry'!$N$7</c:f>
              <c:strCache>
                <c:ptCount val="1"/>
                <c:pt idx="0">
                  <c:v>Forecast Industrial Emission - Low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'2. Industry'!$B$8:$B$72</c:f>
              <c:numCache>
                <c:formatCode>General</c:formatCode>
                <c:ptCount val="65"/>
                <c:pt idx="0">
                  <c:v>1986</c:v>
                </c:pt>
                <c:pt idx="1">
                  <c:v>1987</c:v>
                </c:pt>
                <c:pt idx="2">
                  <c:v>1988</c:v>
                </c:pt>
                <c:pt idx="3">
                  <c:v>1989</c:v>
                </c:pt>
                <c:pt idx="4">
                  <c:v>1990</c:v>
                </c:pt>
                <c:pt idx="5">
                  <c:v>1991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  <c:pt idx="21">
                  <c:v>2007</c:v>
                </c:pt>
                <c:pt idx="22">
                  <c:v>2008</c:v>
                </c:pt>
                <c:pt idx="23">
                  <c:v>2009</c:v>
                </c:pt>
                <c:pt idx="24">
                  <c:v>2010</c:v>
                </c:pt>
                <c:pt idx="25">
                  <c:v>2011</c:v>
                </c:pt>
                <c:pt idx="26">
                  <c:v>2012</c:v>
                </c:pt>
                <c:pt idx="27">
                  <c:v>2013</c:v>
                </c:pt>
                <c:pt idx="28">
                  <c:v>2014</c:v>
                </c:pt>
                <c:pt idx="29">
                  <c:v>2015</c:v>
                </c:pt>
                <c:pt idx="30">
                  <c:v>2016</c:v>
                </c:pt>
                <c:pt idx="31">
                  <c:v>2017</c:v>
                </c:pt>
                <c:pt idx="32">
                  <c:v>2018</c:v>
                </c:pt>
                <c:pt idx="33">
                  <c:v>2019</c:v>
                </c:pt>
                <c:pt idx="34">
                  <c:v>2020</c:v>
                </c:pt>
                <c:pt idx="35">
                  <c:v>2021</c:v>
                </c:pt>
                <c:pt idx="36">
                  <c:v>2022</c:v>
                </c:pt>
                <c:pt idx="37">
                  <c:v>2023</c:v>
                </c:pt>
                <c:pt idx="38">
                  <c:v>2024</c:v>
                </c:pt>
                <c:pt idx="39">
                  <c:v>2025</c:v>
                </c:pt>
                <c:pt idx="40">
                  <c:v>2026</c:v>
                </c:pt>
                <c:pt idx="41">
                  <c:v>2027</c:v>
                </c:pt>
                <c:pt idx="42">
                  <c:v>2028</c:v>
                </c:pt>
                <c:pt idx="43">
                  <c:v>2029</c:v>
                </c:pt>
                <c:pt idx="44">
                  <c:v>2030</c:v>
                </c:pt>
                <c:pt idx="45">
                  <c:v>2031</c:v>
                </c:pt>
                <c:pt idx="46">
                  <c:v>2032</c:v>
                </c:pt>
                <c:pt idx="47">
                  <c:v>2033</c:v>
                </c:pt>
                <c:pt idx="48">
                  <c:v>2034</c:v>
                </c:pt>
                <c:pt idx="49">
                  <c:v>2035</c:v>
                </c:pt>
                <c:pt idx="50">
                  <c:v>2036</c:v>
                </c:pt>
                <c:pt idx="51">
                  <c:v>2037</c:v>
                </c:pt>
                <c:pt idx="52">
                  <c:v>2038</c:v>
                </c:pt>
                <c:pt idx="53">
                  <c:v>2039</c:v>
                </c:pt>
                <c:pt idx="54">
                  <c:v>2040</c:v>
                </c:pt>
                <c:pt idx="55">
                  <c:v>2041</c:v>
                </c:pt>
                <c:pt idx="56">
                  <c:v>2042</c:v>
                </c:pt>
                <c:pt idx="57">
                  <c:v>2043</c:v>
                </c:pt>
                <c:pt idx="58">
                  <c:v>2044</c:v>
                </c:pt>
                <c:pt idx="59">
                  <c:v>2045</c:v>
                </c:pt>
                <c:pt idx="60">
                  <c:v>2046</c:v>
                </c:pt>
                <c:pt idx="61">
                  <c:v>2047</c:v>
                </c:pt>
                <c:pt idx="62">
                  <c:v>2048</c:v>
                </c:pt>
                <c:pt idx="63">
                  <c:v>2049</c:v>
                </c:pt>
                <c:pt idx="64">
                  <c:v>2050</c:v>
                </c:pt>
              </c:numCache>
            </c:numRef>
          </c:cat>
          <c:val>
            <c:numRef>
              <c:f>'2. Industry'!$N$8:$N$72</c:f>
              <c:numCache>
                <c:formatCode>_-* #,##0_-;\-* #,##0_-;_-* "-"??_-;_-@_-</c:formatCode>
                <c:ptCount val="65"/>
                <c:pt idx="33">
                  <c:v>22682460</c:v>
                </c:pt>
                <c:pt idx="34">
                  <c:v>26302157.214589871</c:v>
                </c:pt>
                <c:pt idx="35">
                  <c:v>25000468.948378839</c:v>
                </c:pt>
                <c:pt idx="36">
                  <c:v>24911161.71144709</c:v>
                </c:pt>
                <c:pt idx="37">
                  <c:v>24940066.669331536</c:v>
                </c:pt>
                <c:pt idx="38">
                  <c:v>25034287.293957166</c:v>
                </c:pt>
                <c:pt idx="39">
                  <c:v>25171468.871695139</c:v>
                </c:pt>
                <c:pt idx="40">
                  <c:v>25339662.20437897</c:v>
                </c:pt>
                <c:pt idx="41">
                  <c:v>25531591.556068137</c:v>
                </c:pt>
                <c:pt idx="42">
                  <c:v>25742437.73776757</c:v>
                </c:pt>
                <c:pt idx="43">
                  <c:v>25968813.810481198</c:v>
                </c:pt>
                <c:pt idx="44">
                  <c:v>26208232.060104482</c:v>
                </c:pt>
                <c:pt idx="45">
                  <c:v>26458801.723009773</c:v>
                </c:pt>
                <c:pt idx="46">
                  <c:v>26719045.989501767</c:v>
                </c:pt>
                <c:pt idx="47">
                  <c:v>26987785.35964521</c:v>
                </c:pt>
                <c:pt idx="48">
                  <c:v>27264060.123844862</c:v>
                </c:pt>
                <c:pt idx="49">
                  <c:v>27547077.034527808</c:v>
                </c:pt>
                <c:pt idx="50">
                  <c:v>27836171.537366711</c:v>
                </c:pt>
                <c:pt idx="51">
                  <c:v>28130780.349790469</c:v>
                </c:pt>
                <c:pt idx="52">
                  <c:v>28430421.120177463</c:v>
                </c:pt>
                <c:pt idx="53">
                  <c:v>28734677.054027706</c:v>
                </c:pt>
                <c:pt idx="54">
                  <c:v>29043185.100872755</c:v>
                </c:pt>
                <c:pt idx="55">
                  <c:v>29355626.743245952</c:v>
                </c:pt>
                <c:pt idx="56">
                  <c:v>29671720.719879389</c:v>
                </c:pt>
                <c:pt idx="57">
                  <c:v>29991217.208850659</c:v>
                </c:pt>
                <c:pt idx="58">
                  <c:v>30313893.12798465</c:v>
                </c:pt>
                <c:pt idx="59">
                  <c:v>30639548.300995097</c:v>
                </c:pt>
                <c:pt idx="60">
                  <c:v>30968002.302136458</c:v>
                </c:pt>
                <c:pt idx="61">
                  <c:v>31299091.838179074</c:v>
                </c:pt>
                <c:pt idx="62">
                  <c:v>31632668.559974596</c:v>
                </c:pt>
                <c:pt idx="63">
                  <c:v>31968597.220507085</c:v>
                </c:pt>
                <c:pt idx="64">
                  <c:v>32306754.114678219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26-4098-A6BA-713E4350D28F}"/>
            </c:ext>
          </c:extLst>
        </c:ser>
        <c:ser>
          <c:idx val="4"/>
          <c:order val="3"/>
          <c:tx>
            <c:strRef>
              <c:f>'2. Industry'!$O$7</c:f>
              <c:strCache>
                <c:ptCount val="1"/>
                <c:pt idx="0">
                  <c:v>Forecast Industrial Emission - High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'2. Industry'!$B$8:$B$72</c:f>
              <c:numCache>
                <c:formatCode>General</c:formatCode>
                <c:ptCount val="65"/>
                <c:pt idx="0">
                  <c:v>1986</c:v>
                </c:pt>
                <c:pt idx="1">
                  <c:v>1987</c:v>
                </c:pt>
                <c:pt idx="2">
                  <c:v>1988</c:v>
                </c:pt>
                <c:pt idx="3">
                  <c:v>1989</c:v>
                </c:pt>
                <c:pt idx="4">
                  <c:v>1990</c:v>
                </c:pt>
                <c:pt idx="5">
                  <c:v>1991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  <c:pt idx="21">
                  <c:v>2007</c:v>
                </c:pt>
                <c:pt idx="22">
                  <c:v>2008</c:v>
                </c:pt>
                <c:pt idx="23">
                  <c:v>2009</c:v>
                </c:pt>
                <c:pt idx="24">
                  <c:v>2010</c:v>
                </c:pt>
                <c:pt idx="25">
                  <c:v>2011</c:v>
                </c:pt>
                <c:pt idx="26">
                  <c:v>2012</c:v>
                </c:pt>
                <c:pt idx="27">
                  <c:v>2013</c:v>
                </c:pt>
                <c:pt idx="28">
                  <c:v>2014</c:v>
                </c:pt>
                <c:pt idx="29">
                  <c:v>2015</c:v>
                </c:pt>
                <c:pt idx="30">
                  <c:v>2016</c:v>
                </c:pt>
                <c:pt idx="31">
                  <c:v>2017</c:v>
                </c:pt>
                <c:pt idx="32">
                  <c:v>2018</c:v>
                </c:pt>
                <c:pt idx="33">
                  <c:v>2019</c:v>
                </c:pt>
                <c:pt idx="34">
                  <c:v>2020</c:v>
                </c:pt>
                <c:pt idx="35">
                  <c:v>2021</c:v>
                </c:pt>
                <c:pt idx="36">
                  <c:v>2022</c:v>
                </c:pt>
                <c:pt idx="37">
                  <c:v>2023</c:v>
                </c:pt>
                <c:pt idx="38">
                  <c:v>2024</c:v>
                </c:pt>
                <c:pt idx="39">
                  <c:v>2025</c:v>
                </c:pt>
                <c:pt idx="40">
                  <c:v>2026</c:v>
                </c:pt>
                <c:pt idx="41">
                  <c:v>2027</c:v>
                </c:pt>
                <c:pt idx="42">
                  <c:v>2028</c:v>
                </c:pt>
                <c:pt idx="43">
                  <c:v>2029</c:v>
                </c:pt>
                <c:pt idx="44">
                  <c:v>2030</c:v>
                </c:pt>
                <c:pt idx="45">
                  <c:v>2031</c:v>
                </c:pt>
                <c:pt idx="46">
                  <c:v>2032</c:v>
                </c:pt>
                <c:pt idx="47">
                  <c:v>2033</c:v>
                </c:pt>
                <c:pt idx="48">
                  <c:v>2034</c:v>
                </c:pt>
                <c:pt idx="49">
                  <c:v>2035</c:v>
                </c:pt>
                <c:pt idx="50">
                  <c:v>2036</c:v>
                </c:pt>
                <c:pt idx="51">
                  <c:v>2037</c:v>
                </c:pt>
                <c:pt idx="52">
                  <c:v>2038</c:v>
                </c:pt>
                <c:pt idx="53">
                  <c:v>2039</c:v>
                </c:pt>
                <c:pt idx="54">
                  <c:v>2040</c:v>
                </c:pt>
                <c:pt idx="55">
                  <c:v>2041</c:v>
                </c:pt>
                <c:pt idx="56">
                  <c:v>2042</c:v>
                </c:pt>
                <c:pt idx="57">
                  <c:v>2043</c:v>
                </c:pt>
                <c:pt idx="58">
                  <c:v>2044</c:v>
                </c:pt>
                <c:pt idx="59">
                  <c:v>2045</c:v>
                </c:pt>
                <c:pt idx="60">
                  <c:v>2046</c:v>
                </c:pt>
                <c:pt idx="61">
                  <c:v>2047</c:v>
                </c:pt>
                <c:pt idx="62">
                  <c:v>2048</c:v>
                </c:pt>
                <c:pt idx="63">
                  <c:v>2049</c:v>
                </c:pt>
                <c:pt idx="64">
                  <c:v>2050</c:v>
                </c:pt>
              </c:numCache>
            </c:numRef>
          </c:cat>
          <c:val>
            <c:numRef>
              <c:f>'2. Industry'!$O$8:$O$72</c:f>
              <c:numCache>
                <c:formatCode>_-* #,##0_-;\-* #,##0_-;_-* "-"??_-;_-@_-</c:formatCode>
                <c:ptCount val="65"/>
                <c:pt idx="33">
                  <c:v>22682460</c:v>
                </c:pt>
                <c:pt idx="34">
                  <c:v>26302157.214589871</c:v>
                </c:pt>
                <c:pt idx="35">
                  <c:v>28295444.906649157</c:v>
                </c:pt>
                <c:pt idx="36">
                  <c:v>29346303.389046952</c:v>
                </c:pt>
                <c:pt idx="37">
                  <c:v>30278949.67662856</c:v>
                </c:pt>
                <c:pt idx="38">
                  <c:v>31146280.297468983</c:v>
                </c:pt>
                <c:pt idx="39">
                  <c:v>31970649.965197057</c:v>
                </c:pt>
                <c:pt idx="40">
                  <c:v>32764007.877979279</c:v>
                </c:pt>
                <c:pt idx="41">
                  <c:v>33533629.771756157</c:v>
                </c:pt>
                <c:pt idx="42">
                  <c:v>34284334.835522778</c:v>
                </c:pt>
                <c:pt idx="43">
                  <c:v>35019510.008275196</c:v>
                </c:pt>
                <c:pt idx="44">
                  <c:v>35741643.004117973</c:v>
                </c:pt>
                <c:pt idx="45">
                  <c:v>36452624.586678728</c:v>
                </c:pt>
                <c:pt idx="46">
                  <c:v>37153931.565652795</c:v>
                </c:pt>
                <c:pt idx="47">
                  <c:v>37846743.44097539</c:v>
                </c:pt>
                <c:pt idx="48">
                  <c:v>38532019.922241792</c:v>
                </c:pt>
                <c:pt idx="49">
                  <c:v>39210554.257024892</c:v>
                </c:pt>
                <c:pt idx="50">
                  <c:v>39883010.999652043</c:v>
                </c:pt>
                <c:pt idx="51">
                  <c:v>40549953.432694338</c:v>
                </c:pt>
                <c:pt idx="52">
                  <c:v>41211863.907773383</c:v>
                </c:pt>
                <c:pt idx="53">
                  <c:v>41869159.219389185</c:v>
                </c:pt>
                <c:pt idx="54">
                  <c:v>42522202.418010198</c:v>
                </c:pt>
                <c:pt idx="55">
                  <c:v>43171312.021103054</c:v>
                </c:pt>
                <c:pt idx="56">
                  <c:v>43816769.289935671</c:v>
                </c:pt>
                <c:pt idx="57">
                  <c:v>44458824.046430439</c:v>
                </c:pt>
                <c:pt idx="58">
                  <c:v>45097699.372762509</c:v>
                </c:pt>
                <c:pt idx="59">
                  <c:v>45733595.445218109</c:v>
                </c:pt>
                <c:pt idx="60">
                  <c:v>46366692.6895428</c:v>
                </c:pt>
                <c:pt idx="61">
                  <c:v>46997154.39896623</c:v>
                </c:pt>
                <c:pt idx="62">
                  <c:v>47625128.922636755</c:v>
                </c:pt>
                <c:pt idx="63">
                  <c:v>48250751.507570326</c:v>
                </c:pt>
                <c:pt idx="64">
                  <c:v>48874145.858865239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026-4098-A6BA-713E4350D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6302607"/>
        <c:axId val="956287215"/>
      </c:lineChart>
      <c:catAx>
        <c:axId val="956302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287215"/>
        <c:crosses val="autoZero"/>
        <c:auto val="1"/>
        <c:lblAlgn val="ctr"/>
        <c:lblOffset val="100"/>
        <c:noMultiLvlLbl val="0"/>
      </c:catAx>
      <c:valAx>
        <c:axId val="956287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kg CO2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302607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 sz="1200"/>
              <a:t>Historical and Forecast Emissions</a:t>
            </a:r>
            <a:r>
              <a:rPr lang="en-SG" sz="1200" baseline="0"/>
              <a:t> from Transport</a:t>
            </a:r>
            <a:endParaRPr lang="en-SG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'3. Transport'!$C$7</c:f>
              <c:strCache>
                <c:ptCount val="1"/>
                <c:pt idx="0">
                  <c:v>Transport Emission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'3. Transport'!$C$8:$C$88</c:f>
              <c:numCache>
                <c:formatCode>_-* #,##0_-;\-* #,##0_-;_-* "-"??_-;_-@_-</c:formatCode>
                <c:ptCount val="81"/>
                <c:pt idx="0">
                  <c:v>1527564</c:v>
                </c:pt>
                <c:pt idx="1">
                  <c:v>1527563</c:v>
                </c:pt>
                <c:pt idx="2">
                  <c:v>1612457</c:v>
                </c:pt>
                <c:pt idx="3">
                  <c:v>1787371</c:v>
                </c:pt>
                <c:pt idx="4">
                  <c:v>1738721</c:v>
                </c:pt>
                <c:pt idx="5">
                  <c:v>1860826</c:v>
                </c:pt>
                <c:pt idx="6">
                  <c:v>2042594</c:v>
                </c:pt>
                <c:pt idx="7">
                  <c:v>2446545</c:v>
                </c:pt>
                <c:pt idx="8">
                  <c:v>2593383</c:v>
                </c:pt>
                <c:pt idx="9">
                  <c:v>2957132</c:v>
                </c:pt>
                <c:pt idx="10">
                  <c:v>2857830</c:v>
                </c:pt>
                <c:pt idx="11">
                  <c:v>3047641</c:v>
                </c:pt>
                <c:pt idx="12">
                  <c:v>3270503</c:v>
                </c:pt>
                <c:pt idx="13">
                  <c:v>3403498</c:v>
                </c:pt>
                <c:pt idx="14">
                  <c:v>3644719</c:v>
                </c:pt>
                <c:pt idx="15">
                  <c:v>3407500</c:v>
                </c:pt>
                <c:pt idx="16">
                  <c:v>3473969</c:v>
                </c:pt>
                <c:pt idx="17">
                  <c:v>3580345</c:v>
                </c:pt>
                <c:pt idx="18">
                  <c:v>3497325</c:v>
                </c:pt>
                <c:pt idx="19">
                  <c:v>4072784</c:v>
                </c:pt>
                <c:pt idx="20">
                  <c:v>4066884</c:v>
                </c:pt>
                <c:pt idx="21">
                  <c:v>4930208</c:v>
                </c:pt>
                <c:pt idx="22">
                  <c:v>4759466</c:v>
                </c:pt>
                <c:pt idx="23">
                  <c:v>4721902</c:v>
                </c:pt>
                <c:pt idx="24">
                  <c:v>5136870</c:v>
                </c:pt>
                <c:pt idx="25">
                  <c:v>5646282</c:v>
                </c:pt>
                <c:pt idx="26">
                  <c:v>5106172</c:v>
                </c:pt>
                <c:pt idx="27">
                  <c:v>5064869</c:v>
                </c:pt>
                <c:pt idx="28">
                  <c:v>5080118</c:v>
                </c:pt>
                <c:pt idx="29">
                  <c:v>5137150</c:v>
                </c:pt>
                <c:pt idx="30">
                  <c:v>5218509</c:v>
                </c:pt>
                <c:pt idx="31">
                  <c:v>5316982</c:v>
                </c:pt>
                <c:pt idx="32">
                  <c:v>5288905</c:v>
                </c:pt>
                <c:pt idx="33">
                  <c:v>5305105</c:v>
                </c:pt>
                <c:pt idx="34">
                  <c:v>5409759</c:v>
                </c:pt>
                <c:pt idx="35">
                  <c:v>5593998</c:v>
                </c:pt>
                <c:pt idx="36">
                  <c:v>5812398</c:v>
                </c:pt>
                <c:pt idx="37">
                  <c:v>6007242</c:v>
                </c:pt>
                <c:pt idx="38">
                  <c:v>6126606</c:v>
                </c:pt>
                <c:pt idx="39">
                  <c:v>6704208</c:v>
                </c:pt>
                <c:pt idx="40">
                  <c:v>7033252</c:v>
                </c:pt>
                <c:pt idx="41">
                  <c:v>7551397</c:v>
                </c:pt>
                <c:pt idx="42">
                  <c:v>7356646</c:v>
                </c:pt>
                <c:pt idx="43">
                  <c:v>7111315</c:v>
                </c:pt>
                <c:pt idx="44">
                  <c:v>6879395</c:v>
                </c:pt>
                <c:pt idx="45">
                  <c:v>6640187</c:v>
                </c:pt>
                <c:pt idx="46">
                  <c:v>6622245</c:v>
                </c:pt>
                <c:pt idx="47">
                  <c:v>6894975</c:v>
                </c:pt>
                <c:pt idx="48">
                  <c:v>6971313</c:v>
                </c:pt>
                <c:pt idx="49">
                  <c:v>6798679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30-4BAD-9120-90E5F7C4BCA4}"/>
            </c:ext>
          </c:extLst>
        </c:ser>
        <c:ser>
          <c:idx val="1"/>
          <c:order val="1"/>
          <c:tx>
            <c:strRef>
              <c:f>'3. Transport'!$H$7</c:f>
              <c:strCache>
                <c:ptCount val="1"/>
                <c:pt idx="0">
                  <c:v>Transport Emission Forecast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'3. Transport'!$B$8:$B$88</c:f>
              <c:numCache>
                <c:formatCode>General</c:formatCode>
                <c:ptCount val="81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</c:numCache>
            </c:numRef>
          </c:cat>
          <c:val>
            <c:numRef>
              <c:f>'3. Transport'!$H$8:$H$88</c:f>
              <c:numCache>
                <c:formatCode>General</c:formatCode>
                <c:ptCount val="81"/>
                <c:pt idx="49" formatCode="_-* #,##0_-;\-* #,##0_-;_-* &quot;-&quot;??_-;_-@_-">
                  <c:v>6798679</c:v>
                </c:pt>
                <c:pt idx="50" formatCode="_-* #,##0_-;\-* #,##0_-;_-* &quot;-&quot;??_-;_-@_-">
                  <c:v>7005451.2752512973</c:v>
                </c:pt>
                <c:pt idx="51" formatCode="_-* #,##0_-;\-* #,##0_-;_-* &quot;-&quot;??_-;_-@_-">
                  <c:v>7102114.0379816629</c:v>
                </c:pt>
                <c:pt idx="52" formatCode="_-* #,##0_-;\-* #,##0_-;_-* &quot;-&quot;??_-;_-@_-">
                  <c:v>7090963.2556823511</c:v>
                </c:pt>
                <c:pt idx="53" formatCode="_-* #,##0_-;\-* #,##0_-;_-* &quot;-&quot;??_-;_-@_-">
                  <c:v>7489518.8290907172</c:v>
                </c:pt>
                <c:pt idx="54" formatCode="_-* #,##0_-;\-* #,##0_-;_-* &quot;-&quot;??_-;_-@_-">
                  <c:v>7577629.1997098755</c:v>
                </c:pt>
                <c:pt idx="55" formatCode="_-* #,##0_-;\-* #,##0_-;_-* &quot;-&quot;??_-;_-@_-">
                  <c:v>8129360.3356862646</c:v>
                </c:pt>
                <c:pt idx="56" formatCode="_-* #,##0_-;\-* #,##0_-;_-* &quot;-&quot;??_-;_-@_-">
                  <c:v>8251902.423532242</c:v>
                </c:pt>
                <c:pt idx="57" formatCode="_-* #,##0_-;\-* #,##0_-;_-* &quot;-&quot;??_-;_-@_-">
                  <c:v>8343157.8843049584</c:v>
                </c:pt>
                <c:pt idx="58" formatCode="_-* #,##0_-;\-* #,##0_-;_-* &quot;-&quot;??_-;_-@_-">
                  <c:v>8624922.7942691594</c:v>
                </c:pt>
                <c:pt idx="59" formatCode="_-* #,##0_-;\-* #,##0_-;_-* &quot;-&quot;??_-;_-@_-">
                  <c:v>8774610.4322505891</c:v>
                </c:pt>
                <c:pt idx="60" formatCode="_-* #,##0_-;\-* #,##0_-;_-* &quot;-&quot;??_-;_-@_-">
                  <c:v>8609169.9710967336</c:v>
                </c:pt>
                <c:pt idx="61" formatCode="_-* #,##0_-;\-* #,##0_-;_-* &quot;-&quot;??_-;_-@_-">
                  <c:v>8505704.4559661672</c:v>
                </c:pt>
                <c:pt idx="62" formatCode="_-* #,##0_-;\-* #,##0_-;_-* &quot;-&quot;??_-;_-@_-">
                  <c:v>8529904.7932729349</c:v>
                </c:pt>
                <c:pt idx="63" formatCode="_-* #,##0_-;\-* #,##0_-;_-* &quot;-&quot;??_-;_-@_-">
                  <c:v>8660821.3184116762</c:v>
                </c:pt>
                <c:pt idx="64" formatCode="_-* #,##0_-;\-* #,##0_-;_-* &quot;-&quot;??_-;_-@_-">
                  <c:v>8841368.4893020391</c:v>
                </c:pt>
                <c:pt idx="65" formatCode="_-* #,##0_-;\-* #,##0_-;_-* &quot;-&quot;??_-;_-@_-">
                  <c:v>8995539.0944151357</c:v>
                </c:pt>
                <c:pt idx="66" formatCode="_-* #,##0_-;\-* #,##0_-;_-* &quot;-&quot;??_-;_-@_-">
                  <c:v>8869985.9043217506</c:v>
                </c:pt>
                <c:pt idx="67" formatCode="_-* #,##0_-;\-* #,##0_-;_-* &quot;-&quot;??_-;_-@_-">
                  <c:v>8956380.1211876608</c:v>
                </c:pt>
                <c:pt idx="68" formatCode="_-* #,##0_-;\-* #,##0_-;_-* &quot;-&quot;??_-;_-@_-">
                  <c:v>9053042.8839180283</c:v>
                </c:pt>
                <c:pt idx="69" formatCode="_-* #,##0_-;\-* #,##0_-;_-* &quot;-&quot;??_-;_-@_-">
                  <c:v>9041892.1016187165</c:v>
                </c:pt>
                <c:pt idx="70" formatCode="_-* #,##0_-;\-* #,##0_-;_-* &quot;-&quot;??_-;_-@_-">
                  <c:v>9440447.6750270817</c:v>
                </c:pt>
                <c:pt idx="71" formatCode="_-* #,##0_-;\-* #,##0_-;_-* &quot;-&quot;??_-;_-@_-">
                  <c:v>9528558.0456462391</c:v>
                </c:pt>
                <c:pt idx="72" formatCode="_-* #,##0_-;\-* #,##0_-;_-* &quot;-&quot;??_-;_-@_-">
                  <c:v>10080289.181622628</c:v>
                </c:pt>
                <c:pt idx="73" formatCode="_-* #,##0_-;\-* #,##0_-;_-* &quot;-&quot;??_-;_-@_-">
                  <c:v>10202831.269468607</c:v>
                </c:pt>
                <c:pt idx="74" formatCode="_-* #,##0_-;\-* #,##0_-;_-* &quot;-&quot;??_-;_-@_-">
                  <c:v>10294086.730241325</c:v>
                </c:pt>
                <c:pt idx="75" formatCode="_-* #,##0_-;\-* #,##0_-;_-* &quot;-&quot;??_-;_-@_-">
                  <c:v>10575851.640205525</c:v>
                </c:pt>
                <c:pt idx="76" formatCode="_-* #,##0_-;\-* #,##0_-;_-* &quot;-&quot;??_-;_-@_-">
                  <c:v>10725539.278186953</c:v>
                </c:pt>
                <c:pt idx="77" formatCode="_-* #,##0_-;\-* #,##0_-;_-* &quot;-&quot;??_-;_-@_-">
                  <c:v>10560098.817033099</c:v>
                </c:pt>
                <c:pt idx="78" formatCode="_-* #,##0_-;\-* #,##0_-;_-* &quot;-&quot;??_-;_-@_-">
                  <c:v>10456633.301902531</c:v>
                </c:pt>
                <c:pt idx="79" formatCode="_-* #,##0_-;\-* #,##0_-;_-* &quot;-&quot;??_-;_-@_-">
                  <c:v>10480833.6392093</c:v>
                </c:pt>
                <c:pt idx="80" formatCode="_-* #,##0_-;\-* #,##0_-;_-* &quot;-&quot;??_-;_-@_-">
                  <c:v>10611750.164348042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30-4BAD-9120-90E5F7C4BCA4}"/>
            </c:ext>
          </c:extLst>
        </c:ser>
        <c:ser>
          <c:idx val="2"/>
          <c:order val="2"/>
          <c:tx>
            <c:strRef>
              <c:f>'3. Transport'!$I$7</c:f>
              <c:strCache>
                <c:ptCount val="1"/>
                <c:pt idx="0">
                  <c:v>Lower Confidence Bound(Transport Emission)</c:v>
                </c:pt>
              </c:strCache>
            </c:strRef>
          </c:tx>
          <c:spPr>
            <a:ln w="12700" cap="rnd">
              <a:solidFill>
                <a:srgbClr val="C0504D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'3. Transport'!$B$8:$B$88</c:f>
              <c:numCache>
                <c:formatCode>General</c:formatCode>
                <c:ptCount val="81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</c:numCache>
            </c:numRef>
          </c:cat>
          <c:val>
            <c:numRef>
              <c:f>'3. Transport'!$I$8:$I$88</c:f>
              <c:numCache>
                <c:formatCode>General</c:formatCode>
                <c:ptCount val="81"/>
                <c:pt idx="49" formatCode="_-* #,##0_-;\-* #,##0_-;_-* &quot;-&quot;??_-;_-@_-">
                  <c:v>6798679</c:v>
                </c:pt>
                <c:pt idx="50" formatCode="_-* #,##0_-;\-* #,##0_-;_-* &quot;-&quot;??_-;_-@_-">
                  <c:v>6400514.5907816198</c:v>
                </c:pt>
                <c:pt idx="51" formatCode="_-* #,##0_-;\-* #,##0_-;_-* &quot;-&quot;??_-;_-@_-">
                  <c:v>6478265.0346831679</c:v>
                </c:pt>
                <c:pt idx="52" formatCode="_-* #,##0_-;\-* #,##0_-;_-* &quot;-&quot;??_-;_-@_-">
                  <c:v>6448614.7758414205</c:v>
                </c:pt>
                <c:pt idx="53" formatCode="_-* #,##0_-;\-* #,##0_-;_-* &quot;-&quot;??_-;_-@_-">
                  <c:v>6829048.4694028385</c:v>
                </c:pt>
                <c:pt idx="54" formatCode="_-* #,##0_-;\-* #,##0_-;_-* &quot;-&quot;??_-;_-@_-">
                  <c:v>6899383.7498687748</c:v>
                </c:pt>
                <c:pt idx="55" formatCode="_-* #,##0_-;\-* #,##0_-;_-* &quot;-&quot;??_-;_-@_-">
                  <c:v>7433659.4775133701</c:v>
                </c:pt>
                <c:pt idx="56" formatCode="_-* #,##0_-;\-* #,##0_-;_-* &quot;-&quot;??_-;_-@_-">
                  <c:v>7539041.8414966986</c:v>
                </c:pt>
                <c:pt idx="57" formatCode="_-* #,##0_-;\-* #,##0_-;_-* &quot;-&quot;??_-;_-@_-">
                  <c:v>7613411.9023361662</c:v>
                </c:pt>
                <c:pt idx="58" formatCode="_-* #,##0_-;\-* #,##0_-;_-* &quot;-&quot;??_-;_-@_-">
                  <c:v>7878546.6275154799</c:v>
                </c:pt>
                <c:pt idx="59" formatCode="_-* #,##0_-;\-* #,##0_-;_-* &quot;-&quot;??_-;_-@_-">
                  <c:v>8011842.1229903018</c:v>
                </c:pt>
                <c:pt idx="60" formatCode="_-* #,##0_-;\-* #,##0_-;_-* &quot;-&quot;??_-;_-@_-">
                  <c:v>7830232.0634057401</c:v>
                </c:pt>
                <c:pt idx="61" formatCode="_-* #,##0_-;\-* #,##0_-;_-* &quot;-&quot;??_-;_-@_-">
                  <c:v>7710805.4526497852</c:v>
                </c:pt>
                <c:pt idx="62" formatCode="_-* #,##0_-;\-* #,##0_-;_-* &quot;-&quot;??_-;_-@_-">
                  <c:v>7719240.4300407479</c:v>
                </c:pt>
                <c:pt idx="63" formatCode="_-* #,##0_-;\-* #,##0_-;_-* &quot;-&quot;??_-;_-@_-">
                  <c:v>7834575.6836524876</c:v>
                </c:pt>
                <c:pt idx="64" formatCode="_-* #,##0_-;\-* #,##0_-;_-* &quot;-&quot;??_-;_-@_-">
                  <c:v>7999715.0126252864</c:v>
                </c:pt>
                <c:pt idx="65" formatCode="_-* #,##0_-;\-* #,##0_-;_-* &quot;-&quot;??_-;_-@_-">
                  <c:v>8138641.4230203638</c:v>
                </c:pt>
                <c:pt idx="66" formatCode="_-* #,##0_-;\-* #,##0_-;_-* &quot;-&quot;??_-;_-@_-">
                  <c:v>7997998.6829850199</c:v>
                </c:pt>
                <c:pt idx="67" formatCode="_-* #,##0_-;\-* #,##0_-;_-* &quot;-&quot;??_-;_-@_-">
                  <c:v>8029797.9874467645</c:v>
                </c:pt>
                <c:pt idx="68" formatCode="_-* #,##0_-;\-* #,##0_-;_-* &quot;-&quot;??_-;_-@_-">
                  <c:v>8112279.9795807786</c:v>
                </c:pt>
                <c:pt idx="69" formatCode="_-* #,##0_-;\-* #,##0_-;_-* &quot;-&quot;??_-;_-@_-">
                  <c:v>8087055.7386906547</c:v>
                </c:pt>
                <c:pt idx="70" formatCode="_-* #,##0_-;\-* #,##0_-;_-* &quot;-&quot;??_-;_-@_-">
                  <c:v>8471640.1111411937</c:v>
                </c:pt>
                <c:pt idx="71" formatCode="_-* #,##0_-;\-* #,##0_-;_-* &quot;-&quot;??_-;_-@_-">
                  <c:v>8545876.804504279</c:v>
                </c:pt>
                <c:pt idx="72" formatCode="_-* #,##0_-;\-* #,##0_-;_-* &quot;-&quot;??_-;_-@_-">
                  <c:v>9083827.3462190554</c:v>
                </c:pt>
                <c:pt idx="73" formatCode="_-* #,##0_-;\-* #,##0_-;_-* &quot;-&quot;??_-;_-@_-">
                  <c:v>9192677.750982454</c:v>
                </c:pt>
                <c:pt idx="74" formatCode="_-* #,##0_-;\-* #,##0_-;_-* &quot;-&quot;??_-;_-@_-">
                  <c:v>9270326.5151170138</c:v>
                </c:pt>
                <c:pt idx="75" formatCode="_-* #,##0_-;\-* #,##0_-;_-* &quot;-&quot;??_-;_-@_-">
                  <c:v>9538566.0176324025</c:v>
                </c:pt>
                <c:pt idx="76" formatCode="_-* #,##0_-;\-* #,##0_-;_-* &quot;-&quot;??_-;_-@_-">
                  <c:v>9674806.0499204509</c:v>
                </c:pt>
                <c:pt idx="77" formatCode="_-* #,##0_-;\-* #,##0_-;_-* &quot;-&quot;??_-;_-@_-">
                  <c:v>9495992.491270747</c:v>
                </c:pt>
                <c:pt idx="78" formatCode="_-* #,##0_-;\-* #,##0_-;_-* &quot;-&quot;??_-;_-@_-">
                  <c:v>9379225.2727297246</c:v>
                </c:pt>
                <c:pt idx="79" formatCode="_-* #,##0_-;\-* #,##0_-;_-* &quot;-&quot;??_-;_-@_-">
                  <c:v>9390192.3529580161</c:v>
                </c:pt>
                <c:pt idx="80" formatCode="_-* #,##0_-;\-* #,##0_-;_-* &quot;-&quot;??_-;_-@_-">
                  <c:v>9507941.274062356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30-4BAD-9120-90E5F7C4BCA4}"/>
            </c:ext>
          </c:extLst>
        </c:ser>
        <c:ser>
          <c:idx val="3"/>
          <c:order val="3"/>
          <c:tx>
            <c:strRef>
              <c:f>'3. Transport'!$J$7</c:f>
              <c:strCache>
                <c:ptCount val="1"/>
                <c:pt idx="0">
                  <c:v>Upper Confidence Bound(Transport Emission)</c:v>
                </c:pt>
              </c:strCache>
            </c:strRef>
          </c:tx>
          <c:spPr>
            <a:ln w="12700" cap="rnd">
              <a:solidFill>
                <a:srgbClr val="C0504D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'3. Transport'!$B$8:$B$88</c:f>
              <c:numCache>
                <c:formatCode>General</c:formatCode>
                <c:ptCount val="81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</c:numCache>
            </c:numRef>
          </c:cat>
          <c:val>
            <c:numRef>
              <c:f>'3. Transport'!$J$8:$J$88</c:f>
              <c:numCache>
                <c:formatCode>General</c:formatCode>
                <c:ptCount val="81"/>
                <c:pt idx="49" formatCode="_-* #,##0_-;\-* #,##0_-;_-* &quot;-&quot;??_-;_-@_-">
                  <c:v>6798679</c:v>
                </c:pt>
                <c:pt idx="50" formatCode="_-* #,##0_-;\-* #,##0_-;_-* &quot;-&quot;??_-;_-@_-">
                  <c:v>7610387.9597209748</c:v>
                </c:pt>
                <c:pt idx="51" formatCode="_-* #,##0_-;\-* #,##0_-;_-* &quot;-&quot;??_-;_-@_-">
                  <c:v>7725963.0412801579</c:v>
                </c:pt>
                <c:pt idx="52" formatCode="_-* #,##0_-;\-* #,##0_-;_-* &quot;-&quot;??_-;_-@_-">
                  <c:v>7733311.7355232816</c:v>
                </c:pt>
                <c:pt idx="53" formatCode="_-* #,##0_-;\-* #,##0_-;_-* &quot;-&quot;??_-;_-@_-">
                  <c:v>8149989.188778596</c:v>
                </c:pt>
                <c:pt idx="54" formatCode="_-* #,##0_-;\-* #,##0_-;_-* &quot;-&quot;??_-;_-@_-">
                  <c:v>8255874.6495509762</c:v>
                </c:pt>
                <c:pt idx="55" formatCode="_-* #,##0_-;\-* #,##0_-;_-* &quot;-&quot;??_-;_-@_-">
                  <c:v>8825061.1938591599</c:v>
                </c:pt>
                <c:pt idx="56" formatCode="_-* #,##0_-;\-* #,##0_-;_-* &quot;-&quot;??_-;_-@_-">
                  <c:v>8964763.0055677854</c:v>
                </c:pt>
                <c:pt idx="57" formatCode="_-* #,##0_-;\-* #,##0_-;_-* &quot;-&quot;??_-;_-@_-">
                  <c:v>9072903.8662737515</c:v>
                </c:pt>
                <c:pt idx="58" formatCode="_-* #,##0_-;\-* #,##0_-;_-* &quot;-&quot;??_-;_-@_-">
                  <c:v>9371298.961022839</c:v>
                </c:pt>
                <c:pt idx="59" formatCode="_-* #,##0_-;\-* #,##0_-;_-* &quot;-&quot;??_-;_-@_-">
                  <c:v>9537378.7415108755</c:v>
                </c:pt>
                <c:pt idx="60" formatCode="_-* #,##0_-;\-* #,##0_-;_-* &quot;-&quot;??_-;_-@_-">
                  <c:v>9388107.8787877262</c:v>
                </c:pt>
                <c:pt idx="61" formatCode="_-* #,##0_-;\-* #,##0_-;_-* &quot;-&quot;??_-;_-@_-">
                  <c:v>9300603.4592825491</c:v>
                </c:pt>
                <c:pt idx="62" formatCode="_-* #,##0_-;\-* #,##0_-;_-* &quot;-&quot;??_-;_-@_-">
                  <c:v>9340569.1565051209</c:v>
                </c:pt>
                <c:pt idx="63" formatCode="_-* #,##0_-;\-* #,##0_-;_-* &quot;-&quot;??_-;_-@_-">
                  <c:v>9487066.9531708658</c:v>
                </c:pt>
                <c:pt idx="64" formatCode="_-* #,##0_-;\-* #,##0_-;_-* &quot;-&quot;??_-;_-@_-">
                  <c:v>9683021.9659787919</c:v>
                </c:pt>
                <c:pt idx="65" formatCode="_-* #,##0_-;\-* #,##0_-;_-* &quot;-&quot;??_-;_-@_-">
                  <c:v>9852436.7658099085</c:v>
                </c:pt>
                <c:pt idx="66" formatCode="_-* #,##0_-;\-* #,##0_-;_-* &quot;-&quot;??_-;_-@_-">
                  <c:v>9741973.1256584823</c:v>
                </c:pt>
                <c:pt idx="67" formatCode="_-* #,##0_-;\-* #,##0_-;_-* &quot;-&quot;??_-;_-@_-">
                  <c:v>9882962.2549285572</c:v>
                </c:pt>
                <c:pt idx="68" formatCode="_-* #,##0_-;\-* #,##0_-;_-* &quot;-&quot;??_-;_-@_-">
                  <c:v>9993805.788255278</c:v>
                </c:pt>
                <c:pt idx="69" formatCode="_-* #,##0_-;\-* #,##0_-;_-* &quot;-&quot;??_-;_-@_-">
                  <c:v>9996728.4645467773</c:v>
                </c:pt>
                <c:pt idx="70" formatCode="_-* #,##0_-;\-* #,##0_-;_-* &quot;-&quot;??_-;_-@_-">
                  <c:v>10409255.23891297</c:v>
                </c:pt>
                <c:pt idx="71" formatCode="_-* #,##0_-;\-* #,##0_-;_-* &quot;-&quot;??_-;_-@_-">
                  <c:v>10511239.286788199</c:v>
                </c:pt>
                <c:pt idx="72" formatCode="_-* #,##0_-;\-* #,##0_-;_-* &quot;-&quot;??_-;_-@_-">
                  <c:v>11076751.017026201</c:v>
                </c:pt>
                <c:pt idx="73" formatCode="_-* #,##0_-;\-* #,##0_-;_-* &quot;-&quot;??_-;_-@_-">
                  <c:v>11212984.787954761</c:v>
                </c:pt>
                <c:pt idx="74" formatCode="_-* #,##0_-;\-* #,##0_-;_-* &quot;-&quot;??_-;_-@_-">
                  <c:v>11317846.945365636</c:v>
                </c:pt>
                <c:pt idx="75" formatCode="_-* #,##0_-;\-* #,##0_-;_-* &quot;-&quot;??_-;_-@_-">
                  <c:v>11613137.262778647</c:v>
                </c:pt>
                <c:pt idx="76" formatCode="_-* #,##0_-;\-* #,##0_-;_-* &quot;-&quot;??_-;_-@_-">
                  <c:v>11776272.506453454</c:v>
                </c:pt>
                <c:pt idx="77" formatCode="_-* #,##0_-;\-* #,##0_-;_-* &quot;-&quot;??_-;_-@_-">
                  <c:v>11624205.142795451</c:v>
                </c:pt>
                <c:pt idx="78" formatCode="_-* #,##0_-;\-* #,##0_-;_-* &quot;-&quot;??_-;_-@_-">
                  <c:v>11534041.331075337</c:v>
                </c:pt>
                <c:pt idx="79" formatCode="_-* #,##0_-;\-* #,##0_-;_-* &quot;-&quot;??_-;_-@_-">
                  <c:v>11571474.925460584</c:v>
                </c:pt>
                <c:pt idx="80" formatCode="_-* #,##0_-;\-* #,##0_-;_-* &quot;-&quot;??_-;_-@_-">
                  <c:v>11715559.054633727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30-4BAD-9120-90E5F7C4B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532911"/>
        <c:axId val="1425527503"/>
      </c:lineChart>
      <c:catAx>
        <c:axId val="1425532911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5527503"/>
        <c:crosses val="autoZero"/>
        <c:auto val="1"/>
        <c:lblAlgn val="ctr"/>
        <c:lblOffset val="100"/>
        <c:noMultiLvlLbl val="0"/>
      </c:catAx>
      <c:valAx>
        <c:axId val="1425527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kg CO2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5532911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Sensitivity!$B$1</c:f>
          <c:strCache>
            <c:ptCount val="1"/>
            <c:pt idx="0">
              <c:v>Sensitivity Analysis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Sensitivity!$C$9</c:f>
              <c:strCache>
                <c:ptCount val="1"/>
                <c:pt idx="0">
                  <c:v>Scenario 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Sensitivity!$B$59:$B$90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Sensitivity!$C$10:$C$90</c:f>
              <c:numCache>
                <c:formatCode>_-* #,##0_-;\-* #,##0_-;_-* "-"??_-;_-@_-</c:formatCode>
                <c:ptCount val="32"/>
                <c:pt idx="0">
                  <c:v>53252672.727272727</c:v>
                </c:pt>
                <c:pt idx="1">
                  <c:v>56364627.319692664</c:v>
                </c:pt>
                <c:pt idx="2">
                  <c:v>57015534.854947031</c:v>
                </c:pt>
                <c:pt idx="3">
                  <c:v>57681680.716688439</c:v>
                </c:pt>
                <c:pt idx="4">
                  <c:v>58760718.469703324</c:v>
                </c:pt>
                <c:pt idx="5">
                  <c:v>59519650.604811661</c:v>
                </c:pt>
                <c:pt idx="6">
                  <c:v>60736130.088382527</c:v>
                </c:pt>
                <c:pt idx="7">
                  <c:v>61508533.05880633</c:v>
                </c:pt>
                <c:pt idx="8">
                  <c:v>62240523.168080114</c:v>
                </c:pt>
                <c:pt idx="9">
                  <c:v>63155447.683393992</c:v>
                </c:pt>
                <c:pt idx="10">
                  <c:v>63926657.750145264</c:v>
                </c:pt>
                <c:pt idx="11">
                  <c:v>64368673.327206202</c:v>
                </c:pt>
                <c:pt idx="12">
                  <c:v>64862080.298328914</c:v>
                </c:pt>
                <c:pt idx="13">
                  <c:v>65473006.924570091</c:v>
                </c:pt>
                <c:pt idx="14">
                  <c:v>66180066.668860324</c:v>
                </c:pt>
                <c:pt idx="15">
                  <c:v>66925332.691578083</c:v>
                </c:pt>
                <c:pt idx="16">
                  <c:v>67631878.404037803</c:v>
                </c:pt>
                <c:pt idx="17">
                  <c:v>68043874.76882726</c:v>
                </c:pt>
                <c:pt idx="18">
                  <c:v>68658023.043564275</c:v>
                </c:pt>
                <c:pt idx="19">
                  <c:v>69270880.703208238</c:v>
                </c:pt>
                <c:pt idx="20">
                  <c:v>69763673.112734213</c:v>
                </c:pt>
                <c:pt idx="21">
                  <c:v>70659561.426779881</c:v>
                </c:pt>
                <c:pt idx="22">
                  <c:v>71231443.117929831</c:v>
                </c:pt>
                <c:pt idx="23">
                  <c:v>72261591.969112366</c:v>
                </c:pt>
                <c:pt idx="24">
                  <c:v>72848843.195998386</c:v>
                </c:pt>
                <c:pt idx="25">
                  <c:v>73395974.866462797</c:v>
                </c:pt>
                <c:pt idx="26">
                  <c:v>74127788.038883671</c:v>
                </c:pt>
                <c:pt idx="27">
                  <c:v>74718920.092349961</c:v>
                </c:pt>
                <c:pt idx="28">
                  <c:v>74984881.177949876</c:v>
                </c:pt>
                <c:pt idx="29">
                  <c:v>75307487.694350362</c:v>
                </c:pt>
                <c:pt idx="30">
                  <c:v>75753570.573842838</c:v>
                </c:pt>
                <c:pt idx="31">
                  <c:v>76302739.306250885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E9-4171-AAC8-F31051828557}"/>
            </c:ext>
          </c:extLst>
        </c:ser>
        <c:ser>
          <c:idx val="2"/>
          <c:order val="1"/>
          <c:tx>
            <c:strRef>
              <c:f>Sensitivity!$D$9</c:f>
              <c:strCache>
                <c:ptCount val="1"/>
                <c:pt idx="0">
                  <c:v>Scenario 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Sensitivity!$B$59:$B$90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Sensitivity!$D$10:$D$90</c:f>
              <c:numCache>
                <c:formatCode>_-* #,##0_-;\-* #,##0_-;_-* "-"??_-;_-@_-</c:formatCode>
                <c:ptCount val="32"/>
                <c:pt idx="0">
                  <c:v>53252672.727272727</c:v>
                </c:pt>
                <c:pt idx="1">
                  <c:v>55753580.163662687</c:v>
                </c:pt>
                <c:pt idx="2">
                  <c:v>54699359.954347245</c:v>
                </c:pt>
                <c:pt idx="3">
                  <c:v>54733079.582432553</c:v>
                </c:pt>
                <c:pt idx="4">
                  <c:v>55287127.259543084</c:v>
                </c:pt>
                <c:pt idx="5">
                  <c:v>55580971.513335615</c:v>
                </c:pt>
                <c:pt idx="6">
                  <c:v>56374081.692526825</c:v>
                </c:pt>
                <c:pt idx="7">
                  <c:v>56752786.129959352</c:v>
                </c:pt>
                <c:pt idx="8">
                  <c:v>57111429.778878495</c:v>
                </c:pt>
                <c:pt idx="9">
                  <c:v>57669074.088399149</c:v>
                </c:pt>
                <c:pt idx="10">
                  <c:v>58096122.84076643</c:v>
                </c:pt>
                <c:pt idx="11">
                  <c:v>58204876.915090777</c:v>
                </c:pt>
                <c:pt idx="12">
                  <c:v>58374387.387010232</c:v>
                </c:pt>
                <c:pt idx="13">
                  <c:v>58669876.826000974</c:v>
                </c:pt>
                <c:pt idx="14">
                  <c:v>59069841.377596915</c:v>
                </c:pt>
                <c:pt idx="15">
                  <c:v>59516707.005104721</c:v>
                </c:pt>
                <c:pt idx="16">
                  <c:v>59933607.261782765</c:v>
                </c:pt>
                <c:pt idx="17">
                  <c:v>60064592.091701485</c:v>
                </c:pt>
                <c:pt idx="18">
                  <c:v>60365575.141581282</c:v>
                </c:pt>
                <c:pt idx="19">
                  <c:v>60712994.966521591</c:v>
                </c:pt>
                <c:pt idx="20">
                  <c:v>60946071.587290905</c:v>
                </c:pt>
                <c:pt idx="21">
                  <c:v>61587039.222927123</c:v>
                </c:pt>
                <c:pt idx="22">
                  <c:v>61908401.267249808</c:v>
                </c:pt>
                <c:pt idx="23">
                  <c:v>62692102.299681976</c:v>
                </c:pt>
                <c:pt idx="24">
                  <c:v>63036480.428118758</c:v>
                </c:pt>
                <c:pt idx="25">
                  <c:v>63343662.62576554</c:v>
                </c:pt>
                <c:pt idx="26">
                  <c:v>63837916.972824693</c:v>
                </c:pt>
                <c:pt idx="27">
                  <c:v>64193613.108444922</c:v>
                </c:pt>
                <c:pt idx="28">
                  <c:v>64226006.825343072</c:v>
                </c:pt>
                <c:pt idx="29">
                  <c:v>64316211.055788435</c:v>
                </c:pt>
                <c:pt idx="30">
                  <c:v>64530872.786002234</c:v>
                </c:pt>
                <c:pt idx="31">
                  <c:v>64849089.394208767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EE9-4171-AAC8-F31051828557}"/>
            </c:ext>
          </c:extLst>
        </c:ser>
        <c:ser>
          <c:idx val="3"/>
          <c:order val="2"/>
          <c:tx>
            <c:strRef>
              <c:f>Sensitivity!$E$9</c:f>
              <c:strCache>
                <c:ptCount val="1"/>
                <c:pt idx="0">
                  <c:v>Scenario 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Sensitivity!$B$59:$B$90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Sensitivity!$E$10:$E$90</c:f>
              <c:numCache>
                <c:formatCode>_-* #,##0_-;\-* #,##0_-;_-* "-"??_-;_-@_-</c:formatCode>
                <c:ptCount val="32"/>
                <c:pt idx="0">
                  <c:v>53252672.727272727</c:v>
                </c:pt>
                <c:pt idx="1">
                  <c:v>56975674.475722641</c:v>
                </c:pt>
                <c:pt idx="2">
                  <c:v>59347844.195806593</c:v>
                </c:pt>
                <c:pt idx="3">
                  <c:v>60648767.425626062</c:v>
                </c:pt>
                <c:pt idx="4">
                  <c:v>62245357.534177028</c:v>
                </c:pt>
                <c:pt idx="5">
                  <c:v>63461003.220377512</c:v>
                </c:pt>
                <c:pt idx="6">
                  <c:v>65098196.562837064</c:v>
                </c:pt>
                <c:pt idx="7">
                  <c:v>66265566.925098605</c:v>
                </c:pt>
                <c:pt idx="8">
                  <c:v>67371096.326087981</c:v>
                </c:pt>
                <c:pt idx="9">
                  <c:v>68642763.327192202</c:v>
                </c:pt>
                <c:pt idx="10">
                  <c:v>69757548.422659025</c:v>
                </c:pt>
                <c:pt idx="11">
                  <c:v>70532483.237074926</c:v>
                </c:pt>
                <c:pt idx="12">
                  <c:v>71349737.248276532</c:v>
                </c:pt>
                <c:pt idx="13">
                  <c:v>72276114.567680895</c:v>
                </c:pt>
                <c:pt idx="14">
                  <c:v>73290318.882195368</c:v>
                </c:pt>
                <c:pt idx="15">
                  <c:v>74333962.860983655</c:v>
                </c:pt>
                <c:pt idx="16">
                  <c:v>75330185.377112821</c:v>
                </c:pt>
                <c:pt idx="17">
                  <c:v>76023211.14322637</c:v>
                </c:pt>
                <c:pt idx="18">
                  <c:v>76950564.83010152</c:v>
                </c:pt>
                <c:pt idx="19">
                  <c:v>77829101.43589519</c:v>
                </c:pt>
                <c:pt idx="20">
                  <c:v>78581814.604745194</c:v>
                </c:pt>
                <c:pt idx="21">
                  <c:v>79732854.943156779</c:v>
                </c:pt>
                <c:pt idx="22">
                  <c:v>80555683.195263267</c:v>
                </c:pt>
                <c:pt idx="23">
                  <c:v>81832910.70956406</c:v>
                </c:pt>
                <c:pt idx="24">
                  <c:v>82664198.266394839</c:v>
                </c:pt>
                <c:pt idx="25">
                  <c:v>83452862.506225288</c:v>
                </c:pt>
                <c:pt idx="26">
                  <c:v>84424515.900372371</c:v>
                </c:pt>
                <c:pt idx="27">
                  <c:v>85254185.785393864</c:v>
                </c:pt>
                <c:pt idx="28">
                  <c:v>85757975.496245995</c:v>
                </c:pt>
                <c:pt idx="29">
                  <c:v>86318175.962471142</c:v>
                </c:pt>
                <c:pt idx="30">
                  <c:v>87002599.802019313</c:v>
                </c:pt>
                <c:pt idx="31">
                  <c:v>87791434.48883006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EE9-4171-AAC8-F31051828557}"/>
            </c:ext>
          </c:extLst>
        </c:ser>
        <c:ser>
          <c:idx val="4"/>
          <c:order val="3"/>
          <c:tx>
            <c:strRef>
              <c:f>Sensitivity!$F$9</c:f>
              <c:strCache>
                <c:ptCount val="1"/>
                <c:pt idx="0">
                  <c:v>Scenario 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Sensitivity!$B$59:$B$90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Sensitivity!$F$10:$F$90</c:f>
              <c:numCache>
                <c:formatCode>_-* #,##0_-;\-* #,##0_-;_-* "-"??_-;_-@_-</c:formatCode>
                <c:ptCount val="32"/>
                <c:pt idx="0">
                  <c:v>53252672.727272727</c:v>
                </c:pt>
                <c:pt idx="1">
                  <c:v>56364627.319692664</c:v>
                </c:pt>
                <c:pt idx="2">
                  <c:v>57053564.415570579</c:v>
                </c:pt>
                <c:pt idx="3">
                  <c:v>57759960.033059545</c:v>
                </c:pt>
                <c:pt idx="4">
                  <c:v>58881810.197473608</c:v>
                </c:pt>
                <c:pt idx="5">
                  <c:v>59689041.653107807</c:v>
                </c:pt>
                <c:pt idx="6">
                  <c:v>60961538.578065492</c:v>
                </c:pt>
                <c:pt idx="7">
                  <c:v>61795836.199001931</c:v>
                </c:pt>
                <c:pt idx="8">
                  <c:v>62592545.730317466</c:v>
                </c:pt>
                <c:pt idx="9">
                  <c:v>63574758.563928291</c:v>
                </c:pt>
                <c:pt idx="10">
                  <c:v>64416016.697247632</c:v>
                </c:pt>
                <c:pt idx="11">
                  <c:v>64930823.257582277</c:v>
                </c:pt>
                <c:pt idx="12">
                  <c:v>65499423.677417085</c:v>
                </c:pt>
                <c:pt idx="13">
                  <c:v>66187117.445147872</c:v>
                </c:pt>
                <c:pt idx="14">
                  <c:v>66971405.068635479</c:v>
                </c:pt>
                <c:pt idx="15">
                  <c:v>67792919.046968296</c:v>
                </c:pt>
                <c:pt idx="16">
                  <c:v>68573987.111816525</c:v>
                </c:pt>
                <c:pt idx="17">
                  <c:v>69058153.615469396</c:v>
                </c:pt>
                <c:pt idx="18">
                  <c:v>69742313.643038049</c:v>
                </c:pt>
                <c:pt idx="19">
                  <c:v>70423561.740809143</c:v>
                </c:pt>
                <c:pt idx="20">
                  <c:v>70983756.578877717</c:v>
                </c:pt>
                <c:pt idx="21">
                  <c:v>71946676.94067739</c:v>
                </c:pt>
                <c:pt idx="22">
                  <c:v>72585457.053777903</c:v>
                </c:pt>
                <c:pt idx="23">
                  <c:v>73682419.678824961</c:v>
                </c:pt>
                <c:pt idx="24">
                  <c:v>74336969.036823094</c:v>
                </c:pt>
                <c:pt idx="25">
                  <c:v>74952192.468333125</c:v>
                </c:pt>
                <c:pt idx="26">
                  <c:v>75753496.511802047</c:v>
                </c:pt>
                <c:pt idx="27">
                  <c:v>76415722.732899234</c:v>
                </c:pt>
                <c:pt idx="28">
                  <c:v>76754806.197098583</c:v>
                </c:pt>
                <c:pt idx="29">
                  <c:v>77152884.840750054</c:v>
                </c:pt>
                <c:pt idx="30">
                  <c:v>77677631.691127509</c:v>
                </c:pt>
                <c:pt idx="31">
                  <c:v>78309106.446022794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EE9-4171-AAC8-F31051828557}"/>
            </c:ext>
          </c:extLst>
        </c:ser>
        <c:ser>
          <c:idx val="5"/>
          <c:order val="4"/>
          <c:tx>
            <c:strRef>
              <c:f>Sensitivity!$G$9</c:f>
              <c:strCache>
                <c:ptCount val="1"/>
                <c:pt idx="0">
                  <c:v>Scenario 5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Sensitivity!$B$59:$B$90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Sensitivity!$G$10:$G$90</c:f>
              <c:numCache>
                <c:formatCode>_-* #,##0_-;\-* #,##0_-;_-* "-"??_-;_-@_-</c:formatCode>
                <c:ptCount val="32"/>
                <c:pt idx="0">
                  <c:v>53252672.727272727</c:v>
                </c:pt>
                <c:pt idx="1">
                  <c:v>56364627.319692664</c:v>
                </c:pt>
                <c:pt idx="2">
                  <c:v>58679664.126800723</c:v>
                </c:pt>
                <c:pt idx="3">
                  <c:v>59921651.260930799</c:v>
                </c:pt>
                <c:pt idx="4">
                  <c:v>61457124.028944246</c:v>
                </c:pt>
                <c:pt idx="5">
                  <c:v>62606515.758100457</c:v>
                </c:pt>
                <c:pt idx="6">
                  <c:v>64170059.933585525</c:v>
                </c:pt>
                <c:pt idx="7">
                  <c:v>65258202.590927698</c:v>
                </c:pt>
                <c:pt idx="8">
                  <c:v>66281956.610346787</c:v>
                </c:pt>
                <c:pt idx="9">
                  <c:v>67469537.126704708</c:v>
                </c:pt>
                <c:pt idx="10">
                  <c:v>68497716.435899809</c:v>
                </c:pt>
                <c:pt idx="11">
                  <c:v>69183527.339334249</c:v>
                </c:pt>
                <c:pt idx="12">
                  <c:v>69909465.583010197</c:v>
                </c:pt>
                <c:pt idx="13">
                  <c:v>70743151.154949382</c:v>
                </c:pt>
                <c:pt idx="14">
                  <c:v>71664388.932158381</c:v>
                </c:pt>
                <c:pt idx="15">
                  <c:v>72616221.478647247</c:v>
                </c:pt>
                <c:pt idx="16">
                  <c:v>73522523.465905011</c:v>
                </c:pt>
                <c:pt idx="17">
                  <c:v>74128137.123516813</c:v>
                </c:pt>
                <c:pt idx="18">
                  <c:v>74930332.681394532</c:v>
                </c:pt>
                <c:pt idx="19">
                  <c:v>75726154.838357687</c:v>
                </c:pt>
                <c:pt idx="20">
                  <c:v>76397249.963926882</c:v>
                </c:pt>
                <c:pt idx="21">
                  <c:v>77467145.930384651</c:v>
                </c:pt>
                <c:pt idx="22">
                  <c:v>78209061.945130393</c:v>
                </c:pt>
                <c:pt idx="23">
                  <c:v>79405555.89338322</c:v>
                </c:pt>
                <c:pt idx="24">
                  <c:v>80155715.336190179</c:v>
                </c:pt>
                <c:pt idx="25">
                  <c:v>80862543.676956654</c:v>
                </c:pt>
                <c:pt idx="26">
                  <c:v>81751044.172329649</c:v>
                </c:pt>
                <c:pt idx="27">
                  <c:v>82496036.449625894</c:v>
                </c:pt>
                <c:pt idx="28">
                  <c:v>82913195.602589861</c:v>
                </c:pt>
                <c:pt idx="29">
                  <c:v>83384487.877513081</c:v>
                </c:pt>
                <c:pt idx="30">
                  <c:v>83976880.819834381</c:v>
                </c:pt>
                <c:pt idx="31">
                  <c:v>84670108.874022111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EE9-4171-AAC8-F31051828557}"/>
            </c:ext>
          </c:extLst>
        </c:ser>
        <c:ser>
          <c:idx val="0"/>
          <c:order val="5"/>
          <c:tx>
            <c:strRef>
              <c:f>Sensitivity!$H$9</c:f>
              <c:strCache>
                <c:ptCount val="1"/>
                <c:pt idx="0">
                  <c:v>Scenario 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Sensitivity!$B$59:$B$90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Sensitivity!$H$10:$H$90</c:f>
              <c:numCache>
                <c:formatCode>_-* #,##0_-;\-* #,##0_-;_-* "-"??_-;_-@_-</c:formatCode>
                <c:ptCount val="32"/>
                <c:pt idx="0">
                  <c:v>53252672.727272727</c:v>
                </c:pt>
                <c:pt idx="1">
                  <c:v>56975674.475722641</c:v>
                </c:pt>
                <c:pt idx="2">
                  <c:v>57645685.363329351</c:v>
                </c:pt>
                <c:pt idx="3">
                  <c:v>58330517.565012619</c:v>
                </c:pt>
                <c:pt idx="4">
                  <c:v>59427860.247165829</c:v>
                </c:pt>
                <c:pt idx="5">
                  <c:v>60204747.01879257</c:v>
                </c:pt>
                <c:pt idx="6">
                  <c:v>61438858.227951109</c:v>
                </c:pt>
                <c:pt idx="7">
                  <c:v>62228594.25278163</c:v>
                </c:pt>
                <c:pt idx="8">
                  <c:v>62977640.321583949</c:v>
                </c:pt>
                <c:pt idx="9">
                  <c:v>63909363.003347203</c:v>
                </c:pt>
                <c:pt idx="10">
                  <c:v>64697130.789802119</c:v>
                </c:pt>
                <c:pt idx="11">
                  <c:v>65155479.294570841</c:v>
                </c:pt>
                <c:pt idx="12">
                  <c:v>65665008.58450707</c:v>
                </c:pt>
                <c:pt idx="13">
                  <c:v>66291859.816723816</c:v>
                </c:pt>
                <c:pt idx="14">
                  <c:v>67014658.219122127</c:v>
                </c:pt>
                <c:pt idx="15">
                  <c:v>67775487.718524307</c:v>
                </c:pt>
                <c:pt idx="16">
                  <c:v>68497431.607466862</c:v>
                </c:pt>
                <c:pt idx="17">
                  <c:v>68924669.941894665</c:v>
                </c:pt>
                <c:pt idx="18">
                  <c:v>69593964.592797518</c:v>
                </c:pt>
                <c:pt idx="19">
                  <c:v>70221146.263144851</c:v>
                </c:pt>
                <c:pt idx="20">
                  <c:v>70728154.287409037</c:v>
                </c:pt>
                <c:pt idx="21">
                  <c:v>71638154.925654516</c:v>
                </c:pt>
                <c:pt idx="22">
                  <c:v>72224050.432214633</c:v>
                </c:pt>
                <c:pt idx="23">
                  <c:v>73268119.075580612</c:v>
                </c:pt>
                <c:pt idx="24">
                  <c:v>73869200.285378337</c:v>
                </c:pt>
                <c:pt idx="25">
                  <c:v>74430076.093861088</c:v>
                </c:pt>
                <c:pt idx="26">
                  <c:v>75175551.294008046</c:v>
                </c:pt>
                <c:pt idx="27">
                  <c:v>75780266.787568659</c:v>
                </c:pt>
                <c:pt idx="28">
                  <c:v>76059736.052457318</c:v>
                </c:pt>
                <c:pt idx="29">
                  <c:v>76395778.632908762</c:v>
                </c:pt>
                <c:pt idx="30">
                  <c:v>76855228.438743129</c:v>
                </c:pt>
                <c:pt idx="31">
                  <c:v>77417697.78128694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EC-4209-8DBD-6FF9D36A246B}"/>
            </c:ext>
          </c:extLst>
        </c:ser>
        <c:ser>
          <c:idx val="6"/>
          <c:order val="6"/>
          <c:tx>
            <c:strRef>
              <c:f>Sensitivity!$I$9</c:f>
              <c:strCache>
                <c:ptCount val="1"/>
                <c:pt idx="0">
                  <c:v>Scenario 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Sensitivity!$B$59:$B$90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Sensitivity!$I$10:$I$90</c:f>
              <c:numCache>
                <c:formatCode>_-* #,##0_-;\-* #,##0_-;_-* "-"??_-;_-@_-</c:formatCode>
                <c:ptCount val="32"/>
                <c:pt idx="0">
                  <c:v>53252672.727272727</c:v>
                </c:pt>
                <c:pt idx="1">
                  <c:v>56364627.319692664</c:v>
                </c:pt>
                <c:pt idx="2">
                  <c:v>58717693.687424272</c:v>
                </c:pt>
                <c:pt idx="3">
                  <c:v>59999930.57730189</c:v>
                </c:pt>
                <c:pt idx="4">
                  <c:v>61578215.756714523</c:v>
                </c:pt>
                <c:pt idx="5">
                  <c:v>62775906.806396604</c:v>
                </c:pt>
                <c:pt idx="6">
                  <c:v>64395468.423268482</c:v>
                </c:pt>
                <c:pt idx="7">
                  <c:v>65545505.731123298</c:v>
                </c:pt>
                <c:pt idx="8">
                  <c:v>66633979.172584146</c:v>
                </c:pt>
                <c:pt idx="9">
                  <c:v>67888848.007238999</c:v>
                </c:pt>
                <c:pt idx="10">
                  <c:v>68987075.383002162</c:v>
                </c:pt>
                <c:pt idx="11">
                  <c:v>69745677.269710302</c:v>
                </c:pt>
                <c:pt idx="12">
                  <c:v>70546808.96209836</c:v>
                </c:pt>
                <c:pt idx="13">
                  <c:v>71457261.675527185</c:v>
                </c:pt>
                <c:pt idx="14">
                  <c:v>72455727.331933543</c:v>
                </c:pt>
                <c:pt idx="15">
                  <c:v>73483807.834037453</c:v>
                </c:pt>
                <c:pt idx="16">
                  <c:v>74464632.173683763</c:v>
                </c:pt>
                <c:pt idx="17">
                  <c:v>75142415.970158964</c:v>
                </c:pt>
                <c:pt idx="18">
                  <c:v>76014623.280868277</c:v>
                </c:pt>
                <c:pt idx="19">
                  <c:v>76878835.875958577</c:v>
                </c:pt>
                <c:pt idx="20">
                  <c:v>77617333.430070385</c:v>
                </c:pt>
                <c:pt idx="21">
                  <c:v>78754261.444282159</c:v>
                </c:pt>
                <c:pt idx="22">
                  <c:v>79563075.880978465</c:v>
                </c:pt>
                <c:pt idx="23">
                  <c:v>80826383.6030958</c:v>
                </c:pt>
                <c:pt idx="24">
                  <c:v>81643841.177014887</c:v>
                </c:pt>
                <c:pt idx="25">
                  <c:v>82418761.278826997</c:v>
                </c:pt>
                <c:pt idx="26">
                  <c:v>83376752.645248026</c:v>
                </c:pt>
                <c:pt idx="27">
                  <c:v>84192839.090175182</c:v>
                </c:pt>
                <c:pt idx="28">
                  <c:v>84683120.621738553</c:v>
                </c:pt>
                <c:pt idx="29">
                  <c:v>85229885.023912758</c:v>
                </c:pt>
                <c:pt idx="30">
                  <c:v>85900941.937119037</c:v>
                </c:pt>
                <c:pt idx="31">
                  <c:v>86676476.01379402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EC-4209-8DBD-6FF9D36A246B}"/>
            </c:ext>
          </c:extLst>
        </c:ser>
        <c:ser>
          <c:idx val="7"/>
          <c:order val="7"/>
          <c:tx>
            <c:strRef>
              <c:f>Sensitivity!$J$9</c:f>
              <c:strCache>
                <c:ptCount val="1"/>
                <c:pt idx="0">
                  <c:v>Scenario 8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Sensitivity!$B$59:$B$90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Sensitivity!$J$10:$J$90</c:f>
              <c:numCache>
                <c:formatCode>_-* #,##0_-;\-* #,##0_-;_-* "-"??_-;_-@_-</c:formatCode>
                <c:ptCount val="32"/>
                <c:pt idx="0">
                  <c:v>53252672.727272727</c:v>
                </c:pt>
                <c:pt idx="1">
                  <c:v>56975674.475722641</c:v>
                </c:pt>
                <c:pt idx="2">
                  <c:v>59309814.635183044</c:v>
                </c:pt>
                <c:pt idx="3">
                  <c:v>60570488.109254971</c:v>
                </c:pt>
                <c:pt idx="4">
                  <c:v>62124265.806406751</c:v>
                </c:pt>
                <c:pt idx="5">
                  <c:v>63291612.172081366</c:v>
                </c:pt>
                <c:pt idx="6">
                  <c:v>64872788.073154099</c:v>
                </c:pt>
                <c:pt idx="7">
                  <c:v>65978263.784903005</c:v>
                </c:pt>
                <c:pt idx="8">
                  <c:v>67019073.763850622</c:v>
                </c:pt>
                <c:pt idx="9">
                  <c:v>68223452.446657911</c:v>
                </c:pt>
                <c:pt idx="10">
                  <c:v>69268189.475556672</c:v>
                </c:pt>
                <c:pt idx="11">
                  <c:v>69970333.306698874</c:v>
                </c:pt>
                <c:pt idx="12">
                  <c:v>70712393.869188368</c:v>
                </c:pt>
                <c:pt idx="13">
                  <c:v>71562004.047103122</c:v>
                </c:pt>
                <c:pt idx="14">
                  <c:v>72498980.482420206</c:v>
                </c:pt>
                <c:pt idx="15">
                  <c:v>73466376.505593464</c:v>
                </c:pt>
                <c:pt idx="16">
                  <c:v>74388076.669334069</c:v>
                </c:pt>
                <c:pt idx="17">
                  <c:v>75008932.296584234</c:v>
                </c:pt>
                <c:pt idx="18">
                  <c:v>75866274.230627745</c:v>
                </c:pt>
                <c:pt idx="19">
                  <c:v>76676420.398294315</c:v>
                </c:pt>
                <c:pt idx="20">
                  <c:v>77361731.138601691</c:v>
                </c:pt>
                <c:pt idx="21">
                  <c:v>78445739.429259285</c:v>
                </c:pt>
                <c:pt idx="22">
                  <c:v>79201669.259415209</c:v>
                </c:pt>
                <c:pt idx="23">
                  <c:v>80412082.999851465</c:v>
                </c:pt>
                <c:pt idx="24">
                  <c:v>81176072.42557013</c:v>
                </c:pt>
                <c:pt idx="25">
                  <c:v>81896644.90435496</c:v>
                </c:pt>
                <c:pt idx="26">
                  <c:v>82798807.427454025</c:v>
                </c:pt>
                <c:pt idx="27">
                  <c:v>83557383.144844592</c:v>
                </c:pt>
                <c:pt idx="28">
                  <c:v>83988050.477097288</c:v>
                </c:pt>
                <c:pt idx="29">
                  <c:v>84472778.816071466</c:v>
                </c:pt>
                <c:pt idx="30">
                  <c:v>85078538.684734672</c:v>
                </c:pt>
                <c:pt idx="31">
                  <c:v>85785067.349058166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EC-4209-8DBD-6FF9D36A246B}"/>
            </c:ext>
          </c:extLst>
        </c:ser>
        <c:ser>
          <c:idx val="8"/>
          <c:order val="8"/>
          <c:tx>
            <c:strRef>
              <c:f>Sensitivity!$K$9</c:f>
              <c:strCache>
                <c:ptCount val="1"/>
                <c:pt idx="0">
                  <c:v>Scenario 9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Sensitivity!$B$59:$B$90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Sensitivity!$K$10:$K$90</c:f>
              <c:numCache>
                <c:formatCode>_-* #,##0_-;\-* #,##0_-;_-* "-"??_-;_-@_-</c:formatCode>
                <c:ptCount val="32"/>
                <c:pt idx="0">
                  <c:v>53252672.727272727</c:v>
                </c:pt>
                <c:pt idx="1">
                  <c:v>56975674.475722641</c:v>
                </c:pt>
                <c:pt idx="2">
                  <c:v>57683714.923952907</c:v>
                </c:pt>
                <c:pt idx="3">
                  <c:v>58408796.881383717</c:v>
                </c:pt>
                <c:pt idx="4">
                  <c:v>59548951.974936113</c:v>
                </c:pt>
                <c:pt idx="5">
                  <c:v>60374138.067088716</c:v>
                </c:pt>
                <c:pt idx="6">
                  <c:v>61664266.717634074</c:v>
                </c:pt>
                <c:pt idx="7">
                  <c:v>62515897.39297723</c:v>
                </c:pt>
                <c:pt idx="8">
                  <c:v>63329662.883821301</c:v>
                </c:pt>
                <c:pt idx="9">
                  <c:v>64328673.883881502</c:v>
                </c:pt>
                <c:pt idx="10">
                  <c:v>65186489.736904487</c:v>
                </c:pt>
                <c:pt idx="11">
                  <c:v>65717629.224946916</c:v>
                </c:pt>
                <c:pt idx="12">
                  <c:v>66302351.963595249</c:v>
                </c:pt>
                <c:pt idx="13">
                  <c:v>67005970.337301597</c:v>
                </c:pt>
                <c:pt idx="14">
                  <c:v>67805996.618897289</c:v>
                </c:pt>
                <c:pt idx="15">
                  <c:v>68643074.073914513</c:v>
                </c:pt>
                <c:pt idx="16">
                  <c:v>69439540.315245599</c:v>
                </c:pt>
                <c:pt idx="17">
                  <c:v>69938948.788536817</c:v>
                </c:pt>
                <c:pt idx="18">
                  <c:v>70678255.192271262</c:v>
                </c:pt>
                <c:pt idx="19">
                  <c:v>71373827.300745741</c:v>
                </c:pt>
                <c:pt idx="20">
                  <c:v>71948237.753552526</c:v>
                </c:pt>
                <c:pt idx="21">
                  <c:v>72925270.439552009</c:v>
                </c:pt>
                <c:pt idx="22">
                  <c:v>73578064.36806272</c:v>
                </c:pt>
                <c:pt idx="23">
                  <c:v>74688946.785293207</c:v>
                </c:pt>
                <c:pt idx="24">
                  <c:v>75357326.126203045</c:v>
                </c:pt>
                <c:pt idx="25">
                  <c:v>75986293.695731416</c:v>
                </c:pt>
                <c:pt idx="26">
                  <c:v>76801259.766926423</c:v>
                </c:pt>
                <c:pt idx="27">
                  <c:v>77477069.428117931</c:v>
                </c:pt>
                <c:pt idx="28">
                  <c:v>77829661.071606025</c:v>
                </c:pt>
                <c:pt idx="29">
                  <c:v>78241175.779308438</c:v>
                </c:pt>
                <c:pt idx="30">
                  <c:v>78779289.556027785</c:v>
                </c:pt>
                <c:pt idx="31">
                  <c:v>79424064.921058834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2EC-4209-8DBD-6FF9D36A24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5535375"/>
        <c:axId val="905539119"/>
      </c:lineChart>
      <c:catAx>
        <c:axId val="905535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539119"/>
        <c:crosses val="autoZero"/>
        <c:auto val="1"/>
        <c:lblAlgn val="ctr"/>
        <c:lblOffset val="100"/>
        <c:noMultiLvlLbl val="0"/>
      </c:catAx>
      <c:valAx>
        <c:axId val="905539119"/>
        <c:scaling>
          <c:orientation val="minMax"/>
          <c:min val="5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55353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Electriciy Price v.s.</a:t>
            </a:r>
            <a:r>
              <a:rPr lang="en-US" sz="1200" baseline="0"/>
              <a:t> Share of Electricity Production from Solar Energy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A09784D-591D-4637-98CB-928EA6B5DDE7}" type="CELLRANGE">
                      <a:rPr lang="en-US"/>
                      <a:pPr/>
                      <a:t>[CELLRANGE]</a:t>
                    </a:fld>
                    <a:endParaRPr lang="en-SG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C124-1B44-B15C-DAE0D1D4553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7BA744D-E863-4EC4-BA92-3D6D3421BBBC}" type="CELLRANGE">
                      <a:rPr lang="en-SG"/>
                      <a:pPr/>
                      <a:t>[CELLRANGE]</a:t>
                    </a:fld>
                    <a:endParaRPr lang="en-SG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124-1B44-B15C-DAE0D1D4553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3A73B8A-94D2-4015-B6D2-FFB52C2449E4}" type="CELLRANGE">
                      <a:rPr lang="en-SG"/>
                      <a:pPr/>
                      <a:t>[CELLRANGE]</a:t>
                    </a:fld>
                    <a:endParaRPr lang="en-SG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124-1B44-B15C-DAE0D1D45539}"/>
                </c:ext>
              </c:extLst>
            </c:dLbl>
            <c:dLbl>
              <c:idx val="3"/>
              <c:layout>
                <c:manualLayout>
                  <c:x val="-6.9791039072739008E-2"/>
                  <c:y val="-6.1413158153100451E-2"/>
                </c:manualLayout>
              </c:layout>
              <c:tx>
                <c:rich>
                  <a:bodyPr/>
                  <a:lstStyle/>
                  <a:p>
                    <a:fld id="{EF761DEF-1FA6-472F-B8D9-0C69DA6FD30E}" type="CELLRANGE">
                      <a:rPr lang="en-US"/>
                      <a:pPr/>
                      <a:t>[CELLRANGE]</a:t>
                    </a:fld>
                    <a:endParaRPr lang="en-SG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124-1B44-B15C-DAE0D1D4553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92273C7-82EC-482F-8387-E2CCDB52DEED}" type="CELLRANGE">
                      <a:rPr lang="en-SG"/>
                      <a:pPr/>
                      <a:t>[CELLRANGE]</a:t>
                    </a:fld>
                    <a:endParaRPr lang="en-SG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124-1B44-B15C-DAE0D1D4553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03E9498-1574-4357-89A5-86783F18F346}" type="CELLRANGE">
                      <a:rPr lang="en-SG"/>
                      <a:pPr/>
                      <a:t>[CELLRANGE]</a:t>
                    </a:fld>
                    <a:endParaRPr lang="en-SG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24-1B44-B15C-DAE0D1D4553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7AD637B-E6B5-4442-B37F-D76BB4E6F4A1}" type="CELLRANGE">
                      <a:rPr lang="en-SG"/>
                      <a:pPr/>
                      <a:t>[CELLRANGE]</a:t>
                    </a:fld>
                    <a:endParaRPr lang="en-SG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24-1B44-B15C-DAE0D1D45539}"/>
                </c:ext>
              </c:extLst>
            </c:dLbl>
            <c:dLbl>
              <c:idx val="7"/>
              <c:layout>
                <c:manualLayout>
                  <c:x val="-9.5970061060883252E-2"/>
                  <c:y val="-4.4191296640733527E-2"/>
                </c:manualLayout>
              </c:layout>
              <c:tx>
                <c:rich>
                  <a:bodyPr/>
                  <a:lstStyle/>
                  <a:p>
                    <a:fld id="{EB65788F-158A-4DAA-8E4E-E97B619521F0}" type="CELLRANGE">
                      <a:rPr lang="en-US"/>
                      <a:pPr/>
                      <a:t>[CELLRANGE]</a:t>
                    </a:fld>
                    <a:endParaRPr lang="en-SG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C124-1B44-B15C-DAE0D1D4553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72BD382-8FA5-4FDA-8D36-EAC87475C701}" type="CELLRANGE">
                      <a:rPr lang="en-SG"/>
                      <a:pPr/>
                      <a:t>[CELLRANGE]</a:t>
                    </a:fld>
                    <a:endParaRPr lang="en-SG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24-1B44-B15C-DAE0D1D45539}"/>
                </c:ext>
              </c:extLst>
            </c:dLbl>
            <c:dLbl>
              <c:idx val="9"/>
              <c:layout>
                <c:manualLayout>
                  <c:x val="3.8568222092405023E-3"/>
                  <c:y val="4.8806755526047796E-2"/>
                </c:manualLayout>
              </c:layout>
              <c:tx>
                <c:rich>
                  <a:bodyPr/>
                  <a:lstStyle/>
                  <a:p>
                    <a:fld id="{A3A2CBB9-ED1E-4B73-897D-06DB637776A8}" type="CELLRANGE">
                      <a:rPr lang="en-US"/>
                      <a:pPr/>
                      <a:t>[CELLRANGE]</a:t>
                    </a:fld>
                    <a:endParaRPr lang="en-SG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C124-1B44-B15C-DAE0D1D45539}"/>
                </c:ext>
              </c:extLst>
            </c:dLbl>
            <c:dLbl>
              <c:idx val="10"/>
              <c:layout>
                <c:manualLayout>
                  <c:x val="-7.9476816336945297E-2"/>
                  <c:y val="4.5362383223574478E-2"/>
                </c:manualLayout>
              </c:layout>
              <c:tx>
                <c:rich>
                  <a:bodyPr/>
                  <a:lstStyle/>
                  <a:p>
                    <a:fld id="{E79C78A0-CE65-4964-B55D-D656BC50D7BF}" type="CELLRANGE">
                      <a:rPr lang="en-US"/>
                      <a:pPr/>
                      <a:t>[CELLRANGE]</a:t>
                    </a:fld>
                    <a:endParaRPr lang="en-SG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C124-1B44-B15C-DAE0D1D4553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E9F5885-569F-45AC-BAB8-F88557313F83}" type="CELLRANGE">
                      <a:rPr lang="en-SG"/>
                      <a:pPr/>
                      <a:t>[CELLRANGE]</a:t>
                    </a:fld>
                    <a:endParaRPr lang="en-SG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124-1B44-B15C-DAE0D1D4553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B7A3E87-FB25-4357-A700-88DEC68682FC}" type="CELLRANGE">
                      <a:rPr lang="en-SG"/>
                      <a:pPr/>
                      <a:t>[CELLRANGE]</a:t>
                    </a:fld>
                    <a:endParaRPr lang="en-SG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124-1B44-B15C-DAE0D1D4553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853E62F-DECD-484E-B46E-A766ECE7FC19}" type="CELLRANGE">
                      <a:rPr lang="en-SG"/>
                      <a:pPr/>
                      <a:t>[CELLRANGE]</a:t>
                    </a:fld>
                    <a:endParaRPr lang="en-SG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124-1B44-B15C-DAE0D1D4553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F775F40-C7E4-4417-992A-14EF738D2EC6}" type="CELLRANGE">
                      <a:rPr lang="en-SG"/>
                      <a:pPr/>
                      <a:t>[CELLRANGE]</a:t>
                    </a:fld>
                    <a:endParaRPr lang="en-SG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124-1B44-B15C-DAE0D1D4553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A838DDB-DC2A-479D-AFCC-9C6BE41C2536}" type="CELLRANGE">
                      <a:rPr lang="en-SG"/>
                      <a:pPr/>
                      <a:t>[CELLRANGE]</a:t>
                    </a:fld>
                    <a:endParaRPr lang="en-SG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124-1B44-B15C-DAE0D1D45539}"/>
                </c:ext>
              </c:extLst>
            </c:dLbl>
            <c:dLbl>
              <c:idx val="16"/>
              <c:layout>
                <c:manualLayout>
                  <c:x val="-5.9141247014255306E-2"/>
                  <c:y val="-5.7968785850627064E-2"/>
                </c:manualLayout>
              </c:layout>
              <c:tx>
                <c:rich>
                  <a:bodyPr/>
                  <a:lstStyle/>
                  <a:p>
                    <a:fld id="{B1714DBE-5C2C-4530-A2DE-5E1655773461}" type="CELLRANGE">
                      <a:rPr lang="en-US"/>
                      <a:pPr/>
                      <a:t>[CELLRANGE]</a:t>
                    </a:fld>
                    <a:endParaRPr lang="en-SG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C124-1B44-B15C-DAE0D1D4553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43D5F53-1576-4B7B-B03E-0A9D10B71E9E}" type="CELLRANGE">
                      <a:rPr lang="en-SG"/>
                      <a:pPr/>
                      <a:t>[CELLRANGE]</a:t>
                    </a:fld>
                    <a:endParaRPr lang="en-SG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124-1B44-B15C-DAE0D1D45539}"/>
                </c:ext>
              </c:extLst>
            </c:dLbl>
            <c:dLbl>
              <c:idx val="18"/>
              <c:layout>
                <c:manualLayout>
                  <c:x val="-4.3753788454530306E-3"/>
                  <c:y val="-3.3858179733313495E-2"/>
                </c:manualLayout>
              </c:layout>
              <c:tx>
                <c:rich>
                  <a:bodyPr/>
                  <a:lstStyle/>
                  <a:p>
                    <a:fld id="{6BABFB1D-00BA-4632-81B3-A2413E002BB0}" type="CELLRANGE">
                      <a:rPr lang="en-US"/>
                      <a:pPr/>
                      <a:t>[CELLRANGE]</a:t>
                    </a:fld>
                    <a:endParaRPr lang="en-SG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C124-1B44-B15C-DAE0D1D45539}"/>
                </c:ext>
              </c:extLst>
            </c:dLbl>
            <c:dLbl>
              <c:idx val="19"/>
              <c:layout>
                <c:manualLayout>
                  <c:x val="2.0829708930711118E-2"/>
                  <c:y val="5.9139872433468015E-2"/>
                </c:manualLayout>
              </c:layout>
              <c:tx>
                <c:rich>
                  <a:bodyPr/>
                  <a:lstStyle/>
                  <a:p>
                    <a:fld id="{206DEBD9-4096-4850-AF2E-F306C12F9ECB}" type="CELLRANGE">
                      <a:rPr lang="en-US"/>
                      <a:pPr/>
                      <a:t>[CELLRANGE]</a:t>
                    </a:fld>
                    <a:endParaRPr lang="en-SG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C124-1B44-B15C-DAE0D1D45539}"/>
                </c:ext>
              </c:extLst>
            </c:dLbl>
            <c:dLbl>
              <c:idx val="20"/>
              <c:layout>
                <c:manualLayout>
                  <c:x val="-8.0920625735181495E-2"/>
                  <c:y val="3.5029266316154321E-2"/>
                </c:manualLayout>
              </c:layout>
              <c:tx>
                <c:rich>
                  <a:bodyPr/>
                  <a:lstStyle/>
                  <a:p>
                    <a:fld id="{4FDF2FAA-1E07-4821-8F39-33C4AE3075B6}" type="CELLRANGE">
                      <a:rPr lang="en-US"/>
                      <a:pPr/>
                      <a:t>[CELLRANGE]</a:t>
                    </a:fld>
                    <a:endParaRPr lang="en-SG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C124-1B44-B15C-DAE0D1D45539}"/>
                </c:ext>
              </c:extLst>
            </c:dLbl>
            <c:dLbl>
              <c:idx val="21"/>
              <c:layout>
                <c:manualLayout>
                  <c:x val="1.438925992597978E-3"/>
                  <c:y val="-4.7635668943206914E-2"/>
                </c:manualLayout>
              </c:layout>
              <c:tx>
                <c:rich>
                  <a:bodyPr/>
                  <a:lstStyle/>
                  <a:p>
                    <a:fld id="{ED3A2199-AB94-4B27-9258-6A736A467B8B}" type="CELLRANGE">
                      <a:rPr lang="en-US"/>
                      <a:pPr/>
                      <a:t>[CELLRANGE]</a:t>
                    </a:fld>
                    <a:endParaRPr lang="en-SG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C124-1B44-B15C-DAE0D1D45539}"/>
                </c:ext>
              </c:extLst>
            </c:dLbl>
            <c:dLbl>
              <c:idx val="22"/>
              <c:layout>
                <c:manualLayout>
                  <c:x val="7.2581142362872445E-3"/>
                  <c:y val="4.0299155938938605E-3"/>
                </c:manualLayout>
              </c:layout>
              <c:tx>
                <c:rich>
                  <a:bodyPr/>
                  <a:lstStyle/>
                  <a:p>
                    <a:fld id="{2D8360E3-F661-4A91-BA29-0B08CB1CC33C}" type="CELLRANGE">
                      <a:rPr lang="en-US"/>
                      <a:pPr/>
                      <a:t>[CELLRANGE]</a:t>
                    </a:fld>
                    <a:endParaRPr lang="en-SG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6-C124-1B44-B15C-DAE0D1D45539}"/>
                </c:ext>
              </c:extLst>
            </c:dLbl>
            <c:dLbl>
              <c:idx val="23"/>
              <c:layout>
                <c:manualLayout>
                  <c:x val="-1.1153851084207625E-2"/>
                  <c:y val="-5.4524413548153683E-2"/>
                </c:manualLayout>
              </c:layout>
              <c:tx>
                <c:rich>
                  <a:bodyPr/>
                  <a:lstStyle/>
                  <a:p>
                    <a:fld id="{EABE8500-C320-4E76-ABF1-E6D463724ABB}" type="CELLRANGE">
                      <a:rPr lang="en-US"/>
                      <a:pPr/>
                      <a:t>[CELLRANGE]</a:t>
                    </a:fld>
                    <a:endParaRPr lang="en-SG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C124-1B44-B15C-DAE0D1D45539}"/>
                </c:ext>
              </c:extLst>
            </c:dLbl>
            <c:dLbl>
              <c:idx val="24"/>
              <c:layout>
                <c:manualLayout>
                  <c:x val="-1.211801848491121E-2"/>
                  <c:y val="-4.7635668943207039E-2"/>
                </c:manualLayout>
              </c:layout>
              <c:tx>
                <c:rich>
                  <a:bodyPr/>
                  <a:lstStyle/>
                  <a:p>
                    <a:fld id="{BEEF1278-0ACF-44C1-A293-38B02C71AEC2}" type="CELLRANGE">
                      <a:rPr lang="en-US"/>
                      <a:pPr/>
                      <a:t>[CELLRANGE]</a:t>
                    </a:fld>
                    <a:endParaRPr lang="en-SG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C124-1B44-B15C-DAE0D1D455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0.17016013297513552"/>
                  <c:y val="4.65028230292359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'Trade-off'!$D$8:$D$32</c:f>
              <c:numCache>
                <c:formatCode>0.00%</c:formatCode>
                <c:ptCount val="25"/>
                <c:pt idx="0">
                  <c:v>8.9899524061343203E-2</c:v>
                </c:pt>
                <c:pt idx="1">
                  <c:v>4.25941371436135E-2</c:v>
                </c:pt>
                <c:pt idx="2">
                  <c:v>5.3650032748976499E-2</c:v>
                </c:pt>
                <c:pt idx="3">
                  <c:v>6.8993713906066303E-2</c:v>
                </c:pt>
                <c:pt idx="4">
                  <c:v>2.7859259308742002E-2</c:v>
                </c:pt>
                <c:pt idx="5">
                  <c:v>9.6625653940939096E-2</c:v>
                </c:pt>
                <c:pt idx="6">
                  <c:v>8.9672397844264604E-2</c:v>
                </c:pt>
                <c:pt idx="7">
                  <c:v>4.3714588481874497E-2</c:v>
                </c:pt>
                <c:pt idx="8">
                  <c:v>4.3429583443471899E-2</c:v>
                </c:pt>
                <c:pt idx="9">
                  <c:v>7.8697568177075905E-2</c:v>
                </c:pt>
                <c:pt idx="10">
                  <c:v>7.4155440096059302E-2</c:v>
                </c:pt>
                <c:pt idx="11">
                  <c:v>2.4956980380870002E-2</c:v>
                </c:pt>
                <c:pt idx="12">
                  <c:v>1.32124111625905E-2</c:v>
                </c:pt>
                <c:pt idx="13">
                  <c:v>9.471230916592191E-2</c:v>
                </c:pt>
                <c:pt idx="14">
                  <c:v>8.6247138549114307E-3</c:v>
                </c:pt>
                <c:pt idx="15">
                  <c:v>2.5538422603433201E-2</c:v>
                </c:pt>
                <c:pt idx="16">
                  <c:v>3.2749508596878502E-2</c:v>
                </c:pt>
                <c:pt idx="17">
                  <c:v>1.2535864729518599E-2</c:v>
                </c:pt>
                <c:pt idx="18">
                  <c:v>3.4248478780425404E-2</c:v>
                </c:pt>
                <c:pt idx="19">
                  <c:v>3.6654019817018102E-2</c:v>
                </c:pt>
                <c:pt idx="20">
                  <c:v>3.4169944760584603E-2</c:v>
                </c:pt>
                <c:pt idx="21">
                  <c:v>4.37634081630668E-2</c:v>
                </c:pt>
                <c:pt idx="22">
                  <c:v>1.6333084400587099E-3</c:v>
                </c:pt>
                <c:pt idx="23">
                  <c:v>7.8908901023986905E-4</c:v>
                </c:pt>
                <c:pt idx="24">
                  <c:v>7.2622412318061201E-4</c:v>
                </c:pt>
              </c:numCache>
            </c:numRef>
          </c:xVal>
          <c:yVal>
            <c:numRef>
              <c:f>'Trade-off'!$C$8:$C$32</c:f>
              <c:numCache>
                <c:formatCode>#,##0.00_);\(#,##0.00\)</c:formatCode>
                <c:ptCount val="25"/>
                <c:pt idx="0">
                  <c:v>0.37</c:v>
                </c:pt>
                <c:pt idx="1">
                  <c:v>0.34</c:v>
                </c:pt>
                <c:pt idx="2">
                  <c:v>0.32</c:v>
                </c:pt>
                <c:pt idx="3" formatCode="General">
                  <c:v>0.25</c:v>
                </c:pt>
                <c:pt idx="4">
                  <c:v>0.27</c:v>
                </c:pt>
                <c:pt idx="5">
                  <c:v>0.26</c:v>
                </c:pt>
                <c:pt idx="6">
                  <c:v>0.26</c:v>
                </c:pt>
                <c:pt idx="7">
                  <c:v>0.26</c:v>
                </c:pt>
                <c:pt idx="8">
                  <c:v>0.24</c:v>
                </c:pt>
                <c:pt idx="9">
                  <c:v>0.23</c:v>
                </c:pt>
                <c:pt idx="10">
                  <c:v>0.23</c:v>
                </c:pt>
                <c:pt idx="11">
                  <c:v>0.22</c:v>
                </c:pt>
                <c:pt idx="12">
                  <c:v>0.19</c:v>
                </c:pt>
                <c:pt idx="13">
                  <c:v>0.19</c:v>
                </c:pt>
                <c:pt idx="14">
                  <c:v>0.17</c:v>
                </c:pt>
                <c:pt idx="15">
                  <c:v>0.15</c:v>
                </c:pt>
                <c:pt idx="16">
                  <c:v>0.15</c:v>
                </c:pt>
                <c:pt idx="17">
                  <c:v>0.14000000000000001</c:v>
                </c:pt>
                <c:pt idx="18">
                  <c:v>0.09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0.06</c:v>
                </c:pt>
                <c:pt idx="23">
                  <c:v>0.06</c:v>
                </c:pt>
                <c:pt idx="24">
                  <c:v>0.01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'Trade-off'!#REF!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datalabelsRange>
                <c15:f>'Trade-off'!$B$8:$B$32</c15:f>
                <c15:dlblRangeCache>
                  <c:ptCount val="25"/>
                  <c:pt idx="0">
                    <c:v>Germany</c:v>
                  </c:pt>
                  <c:pt idx="1">
                    <c:v>Denmark</c:v>
                  </c:pt>
                  <c:pt idx="2">
                    <c:v>Belgium</c:v>
                  </c:pt>
                  <c:pt idx="3">
                    <c:v>Rwanda</c:v>
                  </c:pt>
                  <c:pt idx="4">
                    <c:v>Portugal</c:v>
                  </c:pt>
                  <c:pt idx="5">
                    <c:v>Italy</c:v>
                  </c:pt>
                  <c:pt idx="6">
                    <c:v>Japan</c:v>
                  </c:pt>
                  <c:pt idx="7">
                    <c:v>United Kingdom</c:v>
                  </c:pt>
                  <c:pt idx="8">
                    <c:v>Cyprus</c:v>
                  </c:pt>
                  <c:pt idx="9">
                    <c:v>Spain</c:v>
                  </c:pt>
                  <c:pt idx="10">
                    <c:v>Australia</c:v>
                  </c:pt>
                  <c:pt idx="11">
                    <c:v>France</c:v>
                  </c:pt>
                  <c:pt idx="12">
                    <c:v>Poland</c:v>
                  </c:pt>
                  <c:pt idx="13">
                    <c:v>Chile</c:v>
                  </c:pt>
                  <c:pt idx="14">
                    <c:v>Singapore</c:v>
                  </c:pt>
                  <c:pt idx="15">
                    <c:v>South Africa</c:v>
                  </c:pt>
                  <c:pt idx="16">
                    <c:v>United States</c:v>
                  </c:pt>
                  <c:pt idx="17">
                    <c:v>Brazil</c:v>
                  </c:pt>
                  <c:pt idx="18">
                    <c:v>China</c:v>
                  </c:pt>
                  <c:pt idx="19">
                    <c:v>Turkey</c:v>
                  </c:pt>
                  <c:pt idx="20">
                    <c:v>Mexico</c:v>
                  </c:pt>
                  <c:pt idx="21">
                    <c:v>India</c:v>
                  </c:pt>
                  <c:pt idx="22">
                    <c:v>Russia</c:v>
                  </c:pt>
                  <c:pt idx="23">
                    <c:v>Nigeria</c:v>
                  </c:pt>
                  <c:pt idx="24">
                    <c:v>Iran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A-C124-1B44-B15C-DAE0D1D4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274400"/>
        <c:axId val="1300279392"/>
      </c:scatterChart>
      <c:valAx>
        <c:axId val="1300274400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279392"/>
        <c:crosses val="autoZero"/>
        <c:crossBetween val="midCat"/>
      </c:valAx>
      <c:valAx>
        <c:axId val="130027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Housheold Electricity Prices (USD$</a:t>
                </a:r>
                <a:r>
                  <a:rPr lang="en-GB" baseline="0"/>
                  <a:t> / kWh)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_);\(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274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Trade-off</a:t>
            </a:r>
            <a:r>
              <a:rPr lang="en-GB" sz="1200" baseline="0"/>
              <a:t> between Emission and Electricity Price</a:t>
            </a:r>
            <a:endParaRPr lang="en-GB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'Trade-off'!$G$7</c:f>
              <c:strCache>
                <c:ptCount val="1"/>
                <c:pt idx="0">
                  <c:v>Forcast Electricity 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'Trade-off'!$F$8:$F$38</c:f>
              <c:numCache>
                <c:formatCode>0.00%</c:formatCode>
                <c:ptCount val="31"/>
                <c:pt idx="0">
                  <c:v>5.5583333333333327E-3</c:v>
                </c:pt>
                <c:pt idx="1">
                  <c:v>6.8428571428571427E-3</c:v>
                </c:pt>
                <c:pt idx="2">
                  <c:v>7.4013492063489394E-3</c:v>
                </c:pt>
                <c:pt idx="3">
                  <c:v>8.4393764172334684E-3</c:v>
                </c:pt>
                <c:pt idx="4">
                  <c:v>9.4774036281175533E-3</c:v>
                </c:pt>
                <c:pt idx="5">
                  <c:v>1.0515430839002082E-2</c:v>
                </c:pt>
                <c:pt idx="6">
                  <c:v>1.1553458049886611E-2</c:v>
                </c:pt>
                <c:pt idx="7">
                  <c:v>1.2591485260770696E-2</c:v>
                </c:pt>
                <c:pt idx="8">
                  <c:v>1.3629512471655225E-2</c:v>
                </c:pt>
                <c:pt idx="9">
                  <c:v>1.466753968253931E-2</c:v>
                </c:pt>
                <c:pt idx="10">
                  <c:v>1.5705566893423839E-2</c:v>
                </c:pt>
                <c:pt idx="11">
                  <c:v>1.6743594104308368E-2</c:v>
                </c:pt>
                <c:pt idx="12">
                  <c:v>1.7781621315192453E-2</c:v>
                </c:pt>
                <c:pt idx="13">
                  <c:v>1.8819648526076982E-2</c:v>
                </c:pt>
                <c:pt idx="14">
                  <c:v>1.9857675736961511E-2</c:v>
                </c:pt>
                <c:pt idx="15">
                  <c:v>2.0895702947845596E-2</c:v>
                </c:pt>
                <c:pt idx="16">
                  <c:v>2.1933730158730125E-2</c:v>
                </c:pt>
                <c:pt idx="17">
                  <c:v>2.297175736961421E-2</c:v>
                </c:pt>
                <c:pt idx="18">
                  <c:v>2.4009784580498739E-2</c:v>
                </c:pt>
                <c:pt idx="19">
                  <c:v>2.5047811791383268E-2</c:v>
                </c:pt>
                <c:pt idx="20">
                  <c:v>2.6085839002267353E-2</c:v>
                </c:pt>
                <c:pt idx="21">
                  <c:v>2.7123866213151882E-2</c:v>
                </c:pt>
                <c:pt idx="22">
                  <c:v>2.8161893424035966E-2</c:v>
                </c:pt>
                <c:pt idx="23">
                  <c:v>2.9199920634920495E-2</c:v>
                </c:pt>
                <c:pt idx="24">
                  <c:v>3.0237947845805024E-2</c:v>
                </c:pt>
                <c:pt idx="25">
                  <c:v>3.1275975056689109E-2</c:v>
                </c:pt>
                <c:pt idx="26">
                  <c:v>3.2314002267573638E-2</c:v>
                </c:pt>
                <c:pt idx="27">
                  <c:v>3.3352029478457723E-2</c:v>
                </c:pt>
                <c:pt idx="28">
                  <c:v>3.4390056689342252E-2</c:v>
                </c:pt>
                <c:pt idx="29">
                  <c:v>3.5428083900226781E-2</c:v>
                </c:pt>
                <c:pt idx="30">
                  <c:v>3.6466111111110866E-2</c:v>
                </c:pt>
              </c:numCache>
            </c:numRef>
          </c:cat>
          <c:val>
            <c:numRef>
              <c:f>'Trade-off'!$G$8:$G$38</c:f>
              <c:numCache>
                <c:formatCode>_-* #,##0.000_-;\-* #,##0.000_-;_-* "-"??_-;_-@_-</c:formatCode>
                <c:ptCount val="31"/>
                <c:pt idx="0">
                  <c:v>0.11524648229318593</c:v>
                </c:pt>
                <c:pt idx="1">
                  <c:v>0.11774618273611269</c:v>
                </c:pt>
                <c:pt idx="2">
                  <c:v>0.11883301573066735</c:v>
                </c:pt>
                <c:pt idx="3">
                  <c:v>0.12085303050935797</c:v>
                </c:pt>
                <c:pt idx="4">
                  <c:v>0.12287304528804772</c:v>
                </c:pt>
                <c:pt idx="5">
                  <c:v>0.12489306006673835</c:v>
                </c:pt>
                <c:pt idx="6">
                  <c:v>0.12691307484542896</c:v>
                </c:pt>
                <c:pt idx="7">
                  <c:v>0.12893308962411873</c:v>
                </c:pt>
                <c:pt idx="8">
                  <c:v>0.13095310440280936</c:v>
                </c:pt>
                <c:pt idx="9">
                  <c:v>0.13297311918149912</c:v>
                </c:pt>
                <c:pt idx="10">
                  <c:v>0.13499313396018975</c:v>
                </c:pt>
                <c:pt idx="11">
                  <c:v>0.13701314873888037</c:v>
                </c:pt>
                <c:pt idx="12">
                  <c:v>0.13903316351757011</c:v>
                </c:pt>
                <c:pt idx="13">
                  <c:v>0.14105317829626074</c:v>
                </c:pt>
                <c:pt idx="14">
                  <c:v>0.14307319307495137</c:v>
                </c:pt>
                <c:pt idx="15">
                  <c:v>0.14509320785364113</c:v>
                </c:pt>
                <c:pt idx="16">
                  <c:v>0.14711322263233173</c:v>
                </c:pt>
                <c:pt idx="17">
                  <c:v>0.1491332374110215</c:v>
                </c:pt>
                <c:pt idx="18">
                  <c:v>0.15115325218971212</c:v>
                </c:pt>
                <c:pt idx="19">
                  <c:v>0.15317326696840275</c:v>
                </c:pt>
                <c:pt idx="20">
                  <c:v>0.15519328174709252</c:v>
                </c:pt>
                <c:pt idx="21">
                  <c:v>0.15721329652578314</c:v>
                </c:pt>
                <c:pt idx="22">
                  <c:v>0.15923331130447288</c:v>
                </c:pt>
                <c:pt idx="23">
                  <c:v>0.16125332608316351</c:v>
                </c:pt>
                <c:pt idx="24">
                  <c:v>0.16327334086185413</c:v>
                </c:pt>
                <c:pt idx="25">
                  <c:v>0.1652933556405439</c:v>
                </c:pt>
                <c:pt idx="26">
                  <c:v>0.16731337041923453</c:v>
                </c:pt>
                <c:pt idx="27">
                  <c:v>0.16933338519792429</c:v>
                </c:pt>
                <c:pt idx="28">
                  <c:v>0.17135339997661492</c:v>
                </c:pt>
                <c:pt idx="29">
                  <c:v>0.17337341475530554</c:v>
                </c:pt>
                <c:pt idx="30">
                  <c:v>0.17539342953399528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F8-4944-92DC-2399FA38F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357824"/>
        <c:axId val="500359472"/>
      </c:lineChart>
      <c:lineChart>
        <c:grouping val="standard"/>
        <c:varyColors val="0"/>
        <c:ser>
          <c:idx val="2"/>
          <c:order val="1"/>
          <c:tx>
            <c:strRef>
              <c:f>'Trade-off'!$H$7</c:f>
              <c:strCache>
                <c:ptCount val="1"/>
                <c:pt idx="0">
                  <c:v>Forecast Emission from Power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'Trade-off'!$F$8:$F$38</c:f>
              <c:numCache>
                <c:formatCode>0.00%</c:formatCode>
                <c:ptCount val="31"/>
                <c:pt idx="0">
                  <c:v>5.5583333333333327E-3</c:v>
                </c:pt>
                <c:pt idx="1">
                  <c:v>6.8428571428571427E-3</c:v>
                </c:pt>
                <c:pt idx="2">
                  <c:v>7.4013492063489394E-3</c:v>
                </c:pt>
                <c:pt idx="3">
                  <c:v>8.4393764172334684E-3</c:v>
                </c:pt>
                <c:pt idx="4">
                  <c:v>9.4774036281175533E-3</c:v>
                </c:pt>
                <c:pt idx="5">
                  <c:v>1.0515430839002082E-2</c:v>
                </c:pt>
                <c:pt idx="6">
                  <c:v>1.1553458049886611E-2</c:v>
                </c:pt>
                <c:pt idx="7">
                  <c:v>1.2591485260770696E-2</c:v>
                </c:pt>
                <c:pt idx="8">
                  <c:v>1.3629512471655225E-2</c:v>
                </c:pt>
                <c:pt idx="9">
                  <c:v>1.466753968253931E-2</c:v>
                </c:pt>
                <c:pt idx="10">
                  <c:v>1.5705566893423839E-2</c:v>
                </c:pt>
                <c:pt idx="11">
                  <c:v>1.6743594104308368E-2</c:v>
                </c:pt>
                <c:pt idx="12">
                  <c:v>1.7781621315192453E-2</c:v>
                </c:pt>
                <c:pt idx="13">
                  <c:v>1.8819648526076982E-2</c:v>
                </c:pt>
                <c:pt idx="14">
                  <c:v>1.9857675736961511E-2</c:v>
                </c:pt>
                <c:pt idx="15">
                  <c:v>2.0895702947845596E-2</c:v>
                </c:pt>
                <c:pt idx="16">
                  <c:v>2.1933730158730125E-2</c:v>
                </c:pt>
                <c:pt idx="17">
                  <c:v>2.297175736961421E-2</c:v>
                </c:pt>
                <c:pt idx="18">
                  <c:v>2.4009784580498739E-2</c:v>
                </c:pt>
                <c:pt idx="19">
                  <c:v>2.5047811791383268E-2</c:v>
                </c:pt>
                <c:pt idx="20">
                  <c:v>2.6085839002267353E-2</c:v>
                </c:pt>
                <c:pt idx="21">
                  <c:v>2.7123866213151882E-2</c:v>
                </c:pt>
                <c:pt idx="22">
                  <c:v>2.8161893424035966E-2</c:v>
                </c:pt>
                <c:pt idx="23">
                  <c:v>2.9199920634920495E-2</c:v>
                </c:pt>
                <c:pt idx="24">
                  <c:v>3.0237947845805024E-2</c:v>
                </c:pt>
                <c:pt idx="25">
                  <c:v>3.1275975056689109E-2</c:v>
                </c:pt>
                <c:pt idx="26">
                  <c:v>3.2314002267573638E-2</c:v>
                </c:pt>
                <c:pt idx="27">
                  <c:v>3.3352029478457723E-2</c:v>
                </c:pt>
                <c:pt idx="28">
                  <c:v>3.4390056689342252E-2</c:v>
                </c:pt>
                <c:pt idx="29">
                  <c:v>3.5428083900226781E-2</c:v>
                </c:pt>
                <c:pt idx="30">
                  <c:v>3.6466111111110866E-2</c:v>
                </c:pt>
              </c:numCache>
            </c:numRef>
          </c:cat>
          <c:val>
            <c:numRef>
              <c:f>'Trade-off'!$H$8:$H$38</c:f>
              <c:numCache>
                <c:formatCode>_-* #,##0_-;\-* #,##0_-;_-* "-"??_-;_-@_-</c:formatCode>
                <c:ptCount val="31"/>
                <c:pt idx="0">
                  <c:v>22504524.751151245</c:v>
                </c:pt>
                <c:pt idx="1">
                  <c:v>22686076.588652093</c:v>
                </c:pt>
                <c:pt idx="2">
                  <c:v>22884826.477997094</c:v>
                </c:pt>
                <c:pt idx="3">
                  <c:v>23072535.468865417</c:v>
                </c:pt>
                <c:pt idx="4">
                  <c:v>23253763.960796468</c:v>
                </c:pt>
                <c:pt idx="5">
                  <c:v>23424324.097871505</c:v>
                </c:pt>
                <c:pt idx="6">
                  <c:v>23584419.644048974</c:v>
                </c:pt>
                <c:pt idx="7">
                  <c:v>23735776.309070844</c:v>
                </c:pt>
                <c:pt idx="8">
                  <c:v>23877713.36206086</c:v>
                </c:pt>
                <c:pt idx="9">
                  <c:v>24009436.901149925</c:v>
                </c:pt>
                <c:pt idx="10">
                  <c:v>24130374.332970195</c:v>
                </c:pt>
                <c:pt idx="11">
                  <c:v>24240204.462143887</c:v>
                </c:pt>
                <c:pt idx="12">
                  <c:v>24338705.206551142</c:v>
                </c:pt>
                <c:pt idx="13">
                  <c:v>24425655.45827774</c:v>
                </c:pt>
                <c:pt idx="14">
                  <c:v>24500795.166553993</c:v>
                </c:pt>
                <c:pt idx="15">
                  <c:v>24563976.182542518</c:v>
                </c:pt>
                <c:pt idx="16">
                  <c:v>24615276.819001462</c:v>
                </c:pt>
                <c:pt idx="17">
                  <c:v>24654761.950544152</c:v>
                </c:pt>
                <c:pt idx="18">
                  <c:v>24682703.984616105</c:v>
                </c:pt>
                <c:pt idx="19">
                  <c:v>24699599.512838989</c:v>
                </c:pt>
                <c:pt idx="20">
                  <c:v>24705859.549996566</c:v>
                </c:pt>
                <c:pt idx="21">
                  <c:v>24701805.534634478</c:v>
                </c:pt>
                <c:pt idx="22">
                  <c:v>24687823.792966239</c:v>
                </c:pt>
                <c:pt idx="23">
                  <c:v>24664571.866766762</c:v>
                </c:pt>
                <c:pt idx="24">
                  <c:v>24632898.12378196</c:v>
                </c:pt>
                <c:pt idx="25">
                  <c:v>24593559.971122116</c:v>
                </c:pt>
                <c:pt idx="26">
                  <c:v>24547035.772478469</c:v>
                </c:pt>
                <c:pt idx="27">
                  <c:v>24493732.039128982</c:v>
                </c:pt>
                <c:pt idx="28">
                  <c:v>24434543.824164439</c:v>
                </c:pt>
                <c:pt idx="29">
                  <c:v>24369943.133302256</c:v>
                </c:pt>
                <c:pt idx="30">
                  <c:v>24300692.774630252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F8-4944-92DC-2399FA38F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929136"/>
        <c:axId val="523803808"/>
      </c:lineChart>
      <c:catAx>
        <c:axId val="500357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Share of Solar Energy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59472"/>
        <c:crosses val="autoZero"/>
        <c:auto val="1"/>
        <c:lblAlgn val="ctr"/>
        <c:lblOffset val="100"/>
        <c:noMultiLvlLbl val="0"/>
      </c:catAx>
      <c:valAx>
        <c:axId val="500359472"/>
        <c:scaling>
          <c:orientation val="minMax"/>
          <c:min val="2.0000000000000004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Household</a:t>
                </a:r>
                <a:r>
                  <a:rPr lang="en-GB" baseline="0"/>
                  <a:t> Electricity Prices (USD$ / kWh)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* #,##0.000_-;\-* #,##0.00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57824"/>
        <c:crosses val="autoZero"/>
        <c:crossBetween val="between"/>
      </c:valAx>
      <c:valAx>
        <c:axId val="52380380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Emission from Power</a:t>
                </a:r>
                <a:r>
                  <a:rPr lang="en-GB" baseline="0"/>
                  <a:t> Generation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929136"/>
        <c:crosses val="max"/>
        <c:crossBetween val="between"/>
      </c:valAx>
      <c:catAx>
        <c:axId val="523929136"/>
        <c:scaling>
          <c:orientation val="minMax"/>
        </c:scaling>
        <c:delete val="1"/>
        <c:axPos val="b"/>
        <c:numFmt formatCode="0.00%" sourceLinked="1"/>
        <c:majorTickMark val="out"/>
        <c:minorTickMark val="none"/>
        <c:tickLblPos val="nextTo"/>
        <c:crossAx val="5238038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2. Industry'!A1"/><Relationship Id="rId2" Type="http://schemas.openxmlformats.org/officeDocument/2006/relationships/hyperlink" Target="#'3. Transport'!A1"/><Relationship Id="rId1" Type="http://schemas.openxmlformats.org/officeDocument/2006/relationships/hyperlink" Target="#Main!A1"/><Relationship Id="rId5" Type="http://schemas.openxmlformats.org/officeDocument/2006/relationships/hyperlink" Target="#'0. Electricity'!A1"/><Relationship Id="rId4" Type="http://schemas.openxmlformats.org/officeDocument/2006/relationships/hyperlink" Target="#'1. Power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107575</xdr:colOff>
      <xdr:row>7</xdr:row>
      <xdr:rowOff>55131</xdr:rowOff>
    </xdr:from>
    <xdr:to>
      <xdr:col>9</xdr:col>
      <xdr:colOff>21962</xdr:colOff>
      <xdr:row>32</xdr:row>
      <xdr:rowOff>116542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6406A8A3-0EF1-46E1-B2E4-5523EA64AFE5}"/>
            </a:ext>
          </a:extLst>
        </xdr:cNvPr>
        <xdr:cNvSpPr txBox="1">
          <a:spLocks noChangeArrowheads="1"/>
        </xdr:cNvSpPr>
      </xdr:nvSpPr>
      <xdr:spPr bwMode="auto">
        <a:xfrm>
          <a:off x="842681" y="1372943"/>
          <a:ext cx="5795234" cy="476788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endParaRPr lang="en-SG" sz="14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SG" sz="2200" b="1" i="0" u="none" strike="noStrike" baseline="0">
              <a:solidFill>
                <a:srgbClr val="000000"/>
              </a:solidFill>
              <a:latin typeface="Arial"/>
              <a:cs typeface="Arial"/>
            </a:rPr>
            <a:t>IS102 Spreadsseht Modeling for Decision Making</a:t>
          </a:r>
          <a:endParaRPr lang="en-SG" sz="14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SG" sz="14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SG" sz="14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SG" sz="1600" b="1" i="0" u="none" strike="noStrike" baseline="0">
              <a:solidFill>
                <a:srgbClr val="000000"/>
              </a:solidFill>
              <a:latin typeface="+mn-lt"/>
              <a:cs typeface="Arial"/>
            </a:rPr>
            <a:t>Towards A Carbon Efficient Singapore</a:t>
          </a:r>
          <a:endParaRPr lang="en-SG" sz="1600" b="0" i="0" u="none" strike="noStrike" baseline="0">
            <a:solidFill>
              <a:srgbClr val="000000"/>
            </a:solidFill>
            <a:latin typeface="+mn-lt"/>
            <a:cs typeface="Arial"/>
          </a:endParaRPr>
        </a:p>
        <a:p>
          <a:pPr algn="ctr" rtl="0">
            <a:defRPr sz="1000"/>
          </a:pPr>
          <a:r>
            <a:rPr lang="en-SG" sz="1400" b="0" i="0" u="none" strike="noStrike" baseline="0">
              <a:solidFill>
                <a:srgbClr val="000000"/>
              </a:solidFill>
              <a:latin typeface="+mn-lt"/>
              <a:cs typeface="Arial"/>
            </a:rPr>
            <a:t>Emission Projection and Impact of </a:t>
          </a:r>
        </a:p>
        <a:p>
          <a:pPr algn="ctr" rtl="0">
            <a:defRPr sz="1000"/>
          </a:pPr>
          <a:r>
            <a:rPr lang="en-SG" sz="1400" b="0" i="0" u="none" strike="noStrike" baseline="0">
              <a:solidFill>
                <a:srgbClr val="000000"/>
              </a:solidFill>
              <a:latin typeface="+mn-lt"/>
              <a:cs typeface="Arial"/>
            </a:rPr>
            <a:t>Solar Energy</a:t>
          </a:r>
          <a:endParaRPr lang="en-SG" sz="14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SG" sz="14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SG" sz="14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SG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Prepared by</a:t>
          </a:r>
        </a:p>
        <a:p>
          <a:pPr algn="ctr" rtl="0">
            <a:defRPr sz="1000"/>
          </a:pPr>
          <a:endParaRPr lang="en-SG" sz="14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SG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Group 3</a:t>
          </a:r>
        </a:p>
        <a:p>
          <a:pPr algn="ctr" rtl="0" eaLnBrk="1" latinLnBrk="0" hangingPunct="1"/>
          <a:r>
            <a:rPr lang="en-SG" sz="1200">
              <a:effectLst/>
              <a:latin typeface="+mn-lt"/>
              <a:ea typeface="+mn-ea"/>
              <a:cs typeface="+mn-cs"/>
            </a:rPr>
            <a:t>Fang Siyu</a:t>
          </a:r>
          <a:endParaRPr lang="en-SG" sz="1600">
            <a:effectLst/>
          </a:endParaRPr>
        </a:p>
        <a:p>
          <a:pPr algn="ctr" rtl="0" eaLnBrk="1" latinLnBrk="0" hangingPunct="1"/>
          <a:r>
            <a:rPr lang="en-SG" sz="1200">
              <a:effectLst/>
              <a:latin typeface="+mn-lt"/>
              <a:ea typeface="+mn-ea"/>
              <a:cs typeface="+mn-cs"/>
            </a:rPr>
            <a:t>Harith Bahren</a:t>
          </a:r>
          <a:endParaRPr lang="en-SG" sz="1600">
            <a:effectLst/>
          </a:endParaRPr>
        </a:p>
        <a:p>
          <a:pPr algn="ctr" rtl="0" eaLnBrk="1" latinLnBrk="0" hangingPunct="1"/>
          <a:r>
            <a:rPr lang="en-SG" sz="1200">
              <a:effectLst/>
              <a:latin typeface="+mn-lt"/>
              <a:ea typeface="+mn-ea"/>
              <a:cs typeface="+mn-cs"/>
            </a:rPr>
            <a:t>Heranshan S/o Subramania</a:t>
          </a:r>
          <a:endParaRPr lang="en-SG" sz="1600">
            <a:effectLst/>
          </a:endParaRPr>
        </a:p>
        <a:p>
          <a:pPr algn="ctr" rtl="0" eaLnBrk="1" latinLnBrk="0" hangingPunct="1"/>
          <a:r>
            <a:rPr lang="en-SG" sz="1200">
              <a:effectLst/>
              <a:latin typeface="+mn-lt"/>
              <a:ea typeface="+mn-ea"/>
              <a:cs typeface="+mn-cs"/>
            </a:rPr>
            <a:t>Deddy Triwahyudi</a:t>
          </a:r>
          <a:endParaRPr lang="en-SG" sz="1600">
            <a:effectLst/>
          </a:endParaRPr>
        </a:p>
        <a:p>
          <a:pPr algn="ctr" rtl="0" eaLnBrk="1" latinLnBrk="0" hangingPunct="1"/>
          <a:r>
            <a:rPr lang="en-SG" sz="1200">
              <a:effectLst/>
              <a:latin typeface="+mn-lt"/>
              <a:ea typeface="+mn-ea"/>
              <a:cs typeface="+mn-cs"/>
            </a:rPr>
            <a:t>Chu Yi-ning</a:t>
          </a:r>
          <a:endParaRPr lang="en-SG" sz="1600">
            <a:effectLst/>
          </a:endParaRPr>
        </a:p>
        <a:p>
          <a:pPr algn="ctr" rtl="0">
            <a:defRPr sz="1000"/>
          </a:pPr>
          <a:endParaRPr lang="en-SG" sz="14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SG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Section G3</a:t>
          </a:r>
          <a:endParaRPr lang="en-SG" sz="14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SG" sz="14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SG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1 Nov 2021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322729</xdr:colOff>
      <xdr:row>7</xdr:row>
      <xdr:rowOff>87311</xdr:rowOff>
    </xdr:to>
    <xdr:pic>
      <xdr:nvPicPr>
        <xdr:cNvPr id="3" name="Picture 5">
          <a:extLst>
            <a:ext uri="{FF2B5EF4-FFF2-40B4-BE49-F238E27FC236}">
              <a16:creationId xmlns:a16="http://schemas.microsoft.com/office/drawing/2014/main" id="{47EDC1A7-F617-4A9E-AF39-CBB2EE227C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1087"/>
        <a:stretch>
          <a:fillRect/>
        </a:stretch>
      </xdr:blipFill>
      <xdr:spPr bwMode="auto">
        <a:xfrm>
          <a:off x="0" y="0"/>
          <a:ext cx="3263153" cy="140512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59764</xdr:colOff>
      <xdr:row>1</xdr:row>
      <xdr:rowOff>185770</xdr:rowOff>
    </xdr:from>
    <xdr:to>
      <xdr:col>6</xdr:col>
      <xdr:colOff>398423</xdr:colOff>
      <xdr:row>31</xdr:row>
      <xdr:rowOff>77411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9A0BE140-D385-42AE-9529-5C478E4B122E}"/>
            </a:ext>
          </a:extLst>
        </xdr:cNvPr>
        <xdr:cNvGrpSpPr/>
      </xdr:nvGrpSpPr>
      <xdr:grpSpPr>
        <a:xfrm>
          <a:off x="406897" y="473637"/>
          <a:ext cx="8822259" cy="5733641"/>
          <a:chOff x="173313" y="568175"/>
          <a:chExt cx="8819768" cy="5539405"/>
        </a:xfrm>
      </xdr:grpSpPr>
      <xdr:sp macro="" textlink="">
        <xdr:nvSpPr>
          <xdr:cNvPr id="193" name="Rectangle 19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2115359-928D-451E-BF23-2C693D66ADDF}"/>
              </a:ext>
            </a:extLst>
          </xdr:cNvPr>
          <xdr:cNvSpPr/>
        </xdr:nvSpPr>
        <xdr:spPr>
          <a:xfrm>
            <a:off x="173313" y="5202727"/>
            <a:ext cx="1326348" cy="904853"/>
          </a:xfrm>
          <a:prstGeom prst="rect">
            <a:avLst/>
          </a:prstGeom>
          <a:solidFill>
            <a:srgbClr val="4F81BD">
              <a:lumMod val="60000"/>
              <a:lumOff val="40000"/>
            </a:srgbClr>
          </a:solidFill>
          <a:ln w="19050" cap="flat" cmpd="sng" algn="ctr">
            <a:noFill/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9pPr>
          </a:lstStyle>
          <a:p>
            <a:pPr algn="ctr"/>
            <a:r>
              <a:rPr lang="en-SG" sz="1200" b="1">
                <a:solidFill>
                  <a:sysClr val="windowText" lastClr="000000"/>
                </a:solidFill>
              </a:rPr>
              <a:t>Main</a:t>
            </a:r>
          </a:p>
        </xdr:txBody>
      </xdr:sp>
      <xdr:sp macro="" textlink="">
        <xdr:nvSpPr>
          <xdr:cNvPr id="194" name="Rectangle 19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FF4A344-FA25-4C34-A8B6-A5A8313E9940}"/>
              </a:ext>
            </a:extLst>
          </xdr:cNvPr>
          <xdr:cNvSpPr/>
        </xdr:nvSpPr>
        <xdr:spPr>
          <a:xfrm>
            <a:off x="173313" y="4622363"/>
            <a:ext cx="1326348" cy="491580"/>
          </a:xfrm>
          <a:prstGeom prst="rect">
            <a:avLst/>
          </a:prstGeom>
          <a:solidFill>
            <a:srgbClr val="4F81BD">
              <a:lumMod val="60000"/>
              <a:lumOff val="40000"/>
            </a:srgbClr>
          </a:solidFill>
          <a:ln w="19050" cap="flat" cmpd="sng" algn="ctr">
            <a:noFill/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9pPr>
          </a:lstStyle>
          <a:p>
            <a:pPr algn="ctr"/>
            <a:r>
              <a:rPr lang="en-SG" sz="1200" b="1">
                <a:solidFill>
                  <a:sysClr val="windowText" lastClr="000000"/>
                </a:solidFill>
              </a:rPr>
              <a:t>3. Transport</a:t>
            </a:r>
          </a:p>
        </xdr:txBody>
      </xdr:sp>
      <xdr:sp macro="" textlink="">
        <xdr:nvSpPr>
          <xdr:cNvPr id="195" name="Rectangle 194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66FBBEB-0A40-4FBA-94FD-F34E2E995143}"/>
              </a:ext>
            </a:extLst>
          </xdr:cNvPr>
          <xdr:cNvSpPr/>
        </xdr:nvSpPr>
        <xdr:spPr>
          <a:xfrm>
            <a:off x="173313" y="3670612"/>
            <a:ext cx="1326348" cy="852340"/>
          </a:xfrm>
          <a:prstGeom prst="rect">
            <a:avLst/>
          </a:prstGeom>
          <a:solidFill>
            <a:srgbClr val="4F81BD">
              <a:lumMod val="60000"/>
              <a:lumOff val="40000"/>
            </a:srgbClr>
          </a:solidFill>
          <a:ln w="19050" cap="flat" cmpd="sng" algn="ctr">
            <a:noFill/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9pPr>
          </a:lstStyle>
          <a:p>
            <a:pPr algn="ctr"/>
            <a:r>
              <a:rPr lang="en-SG" sz="1200" b="1">
                <a:solidFill>
                  <a:sysClr val="windowText" lastClr="000000"/>
                </a:solidFill>
              </a:rPr>
              <a:t>2. Industry</a:t>
            </a:r>
          </a:p>
        </xdr:txBody>
      </xdr:sp>
      <xdr:sp macro="" textlink="">
        <xdr:nvSpPr>
          <xdr:cNvPr id="196" name="Rectangle 195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A3F2F52-7F74-4D5E-AB95-E99E2F3FA54D}"/>
              </a:ext>
            </a:extLst>
          </xdr:cNvPr>
          <xdr:cNvSpPr/>
        </xdr:nvSpPr>
        <xdr:spPr>
          <a:xfrm>
            <a:off x="173313" y="1550309"/>
            <a:ext cx="1326348" cy="2013103"/>
          </a:xfrm>
          <a:prstGeom prst="rect">
            <a:avLst/>
          </a:prstGeom>
          <a:solidFill>
            <a:srgbClr val="4F81BD">
              <a:lumMod val="60000"/>
              <a:lumOff val="40000"/>
            </a:srgbClr>
          </a:solidFill>
          <a:ln w="19050" cap="flat" cmpd="sng" algn="ctr">
            <a:noFill/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9pPr>
          </a:lstStyle>
          <a:p>
            <a:pPr algn="ctr"/>
            <a:r>
              <a:rPr lang="en-SG" sz="1200" b="1">
                <a:solidFill>
                  <a:sysClr val="windowText" lastClr="000000"/>
                </a:solidFill>
              </a:rPr>
              <a:t>1. Power</a:t>
            </a:r>
          </a:p>
        </xdr:txBody>
      </xdr:sp>
      <xdr:sp macro="" textlink="">
        <xdr:nvSpPr>
          <xdr:cNvPr id="197" name="Rectangle 196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BC3F953D-FA5E-4C4C-90FF-F050224402C0}"/>
              </a:ext>
            </a:extLst>
          </xdr:cNvPr>
          <xdr:cNvSpPr/>
        </xdr:nvSpPr>
        <xdr:spPr>
          <a:xfrm>
            <a:off x="173313" y="569628"/>
            <a:ext cx="1326348" cy="906350"/>
          </a:xfrm>
          <a:prstGeom prst="rect">
            <a:avLst/>
          </a:prstGeom>
          <a:solidFill>
            <a:srgbClr val="4F81BD">
              <a:lumMod val="60000"/>
              <a:lumOff val="40000"/>
            </a:srgbClr>
          </a:solidFill>
          <a:ln w="19050" cap="flat" cmpd="sng" algn="ctr">
            <a:noFill/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9pPr>
          </a:lstStyle>
          <a:p>
            <a:pPr algn="ctr"/>
            <a:r>
              <a:rPr lang="en-SG" sz="1200" b="1">
                <a:solidFill>
                  <a:sysClr val="windowText" lastClr="000000"/>
                </a:solidFill>
              </a:rPr>
              <a:t>0. Electricity</a:t>
            </a:r>
          </a:p>
        </xdr:txBody>
      </xdr:sp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70F4F6AA-0997-45B9-ADBB-7B759A15DC90}"/>
              </a:ext>
            </a:extLst>
          </xdr:cNvPr>
          <xdr:cNvSpPr/>
        </xdr:nvSpPr>
        <xdr:spPr>
          <a:xfrm>
            <a:off x="1627771" y="5202728"/>
            <a:ext cx="7365310" cy="873244"/>
          </a:xfrm>
          <a:prstGeom prst="rect">
            <a:avLst/>
          </a:prstGeom>
          <a:solidFill>
            <a:srgbClr val="DCE6F2">
              <a:alpha val="58039"/>
            </a:srgbClr>
          </a:solidFill>
          <a:ln w="19050" cap="flat" cmpd="sng" algn="ctr">
            <a:noFill/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9pPr>
          </a:lstStyle>
          <a:p>
            <a:pPr algn="ctr"/>
            <a:endParaRPr lang="en-SG"/>
          </a:p>
        </xdr:txBody>
      </xdr:sp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AA5E8446-C6AB-4C39-A772-1E222F60FCE2}"/>
              </a:ext>
            </a:extLst>
          </xdr:cNvPr>
          <xdr:cNvSpPr/>
        </xdr:nvSpPr>
        <xdr:spPr>
          <a:xfrm>
            <a:off x="1627771" y="4620910"/>
            <a:ext cx="7365310" cy="493033"/>
          </a:xfrm>
          <a:prstGeom prst="rect">
            <a:avLst/>
          </a:prstGeom>
          <a:solidFill>
            <a:srgbClr val="DCE6F2">
              <a:alpha val="58039"/>
            </a:srgbClr>
          </a:solidFill>
          <a:ln w="19050" cap="flat" cmpd="sng" algn="ctr">
            <a:noFill/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9pPr>
          </a:lstStyle>
          <a:p>
            <a:pPr algn="ctr"/>
            <a:endParaRPr lang="en-SG"/>
          </a:p>
        </xdr:txBody>
      </xdr:sp>
      <xdr:sp macro="" textlink="">
        <xdr:nvSpPr>
          <xdr:cNvPr id="200" name="Rectangle 199">
            <a:extLst>
              <a:ext uri="{FF2B5EF4-FFF2-40B4-BE49-F238E27FC236}">
                <a16:creationId xmlns:a16="http://schemas.microsoft.com/office/drawing/2014/main" id="{59C6073D-C4EE-44EB-BD71-103F267C09D2}"/>
              </a:ext>
            </a:extLst>
          </xdr:cNvPr>
          <xdr:cNvSpPr/>
        </xdr:nvSpPr>
        <xdr:spPr>
          <a:xfrm>
            <a:off x="1627771" y="3669159"/>
            <a:ext cx="7365310" cy="852340"/>
          </a:xfrm>
          <a:prstGeom prst="rect">
            <a:avLst/>
          </a:prstGeom>
          <a:solidFill>
            <a:srgbClr val="DCE6F2">
              <a:alpha val="58039"/>
            </a:srgbClr>
          </a:solidFill>
          <a:ln w="19050" cap="flat" cmpd="sng" algn="ctr">
            <a:noFill/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9pPr>
          </a:lstStyle>
          <a:p>
            <a:pPr algn="ctr"/>
            <a:endParaRPr lang="en-SG"/>
          </a:p>
        </xdr:txBody>
      </xdr:sp>
      <xdr:sp macro="" textlink="">
        <xdr:nvSpPr>
          <xdr:cNvPr id="201" name="Rectangle 200">
            <a:extLst>
              <a:ext uri="{FF2B5EF4-FFF2-40B4-BE49-F238E27FC236}">
                <a16:creationId xmlns:a16="http://schemas.microsoft.com/office/drawing/2014/main" id="{5C5CA04E-60E7-4635-BA6A-68599399EA89}"/>
              </a:ext>
            </a:extLst>
          </xdr:cNvPr>
          <xdr:cNvSpPr/>
        </xdr:nvSpPr>
        <xdr:spPr>
          <a:xfrm>
            <a:off x="1627771" y="1548856"/>
            <a:ext cx="7365310" cy="2014556"/>
          </a:xfrm>
          <a:prstGeom prst="rect">
            <a:avLst/>
          </a:prstGeom>
          <a:solidFill>
            <a:srgbClr val="DCE6F2">
              <a:alpha val="58039"/>
            </a:srgbClr>
          </a:solidFill>
          <a:ln w="19050" cap="flat" cmpd="sng" algn="ctr">
            <a:noFill/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9pPr>
          </a:lstStyle>
          <a:p>
            <a:pPr algn="ctr"/>
            <a:endParaRPr lang="en-SG"/>
          </a:p>
        </xdr:txBody>
      </xdr:sp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6BB1E876-0A0D-4544-B8CE-A5EAF79EAC04}"/>
              </a:ext>
            </a:extLst>
          </xdr:cNvPr>
          <xdr:cNvSpPr/>
        </xdr:nvSpPr>
        <xdr:spPr>
          <a:xfrm>
            <a:off x="1627771" y="568175"/>
            <a:ext cx="7365310" cy="906350"/>
          </a:xfrm>
          <a:prstGeom prst="rect">
            <a:avLst/>
          </a:prstGeom>
          <a:solidFill>
            <a:srgbClr val="DCE6F2">
              <a:alpha val="58039"/>
            </a:srgbClr>
          </a:solidFill>
          <a:ln w="19050" cap="flat" cmpd="sng" algn="ctr">
            <a:noFill/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9pPr>
          </a:lstStyle>
          <a:p>
            <a:pPr algn="ctr"/>
            <a:endParaRPr lang="en-SG"/>
          </a:p>
        </xdr:txBody>
      </xdr:sp>
      <xdr:sp macro="" textlink="">
        <xdr:nvSpPr>
          <xdr:cNvPr id="203" name="TextBox 4">
            <a:extLst>
              <a:ext uri="{FF2B5EF4-FFF2-40B4-BE49-F238E27FC236}">
                <a16:creationId xmlns:a16="http://schemas.microsoft.com/office/drawing/2014/main" id="{5D5B7AB3-D05D-4137-8022-26C7FE094C8E}"/>
              </a:ext>
            </a:extLst>
          </xdr:cNvPr>
          <xdr:cNvSpPr txBox="1"/>
        </xdr:nvSpPr>
        <xdr:spPr>
          <a:xfrm>
            <a:off x="1847211" y="702789"/>
            <a:ext cx="1800000" cy="276999"/>
          </a:xfrm>
          <a:prstGeom prst="rect">
            <a:avLst/>
          </a:prstGeom>
          <a:solidFill>
            <a:srgbClr val="9BBB59">
              <a:lumMod val="40000"/>
              <a:lumOff val="60000"/>
            </a:srgbClr>
          </a:solidFill>
          <a:ln>
            <a:solidFill>
              <a:srgbClr val="9BBB59"/>
            </a:solidFill>
          </a:ln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9pPr>
          </a:lstStyle>
          <a:p>
            <a:pPr algn="ctr"/>
            <a:r>
              <a:rPr lang="en-SG" sz="1200"/>
              <a:t>Singapore Population</a:t>
            </a:r>
          </a:p>
        </xdr:txBody>
      </xdr:sp>
      <xdr:sp macro="" textlink="">
        <xdr:nvSpPr>
          <xdr:cNvPr id="204" name="TextBox 33">
            <a:extLst>
              <a:ext uri="{FF2B5EF4-FFF2-40B4-BE49-F238E27FC236}">
                <a16:creationId xmlns:a16="http://schemas.microsoft.com/office/drawing/2014/main" id="{7DDCF49F-1AAD-455A-ACC0-E765D3440C33}"/>
              </a:ext>
            </a:extLst>
          </xdr:cNvPr>
          <xdr:cNvSpPr txBox="1"/>
        </xdr:nvSpPr>
        <xdr:spPr>
          <a:xfrm>
            <a:off x="4189416" y="782028"/>
            <a:ext cx="1800000" cy="461665"/>
          </a:xfrm>
          <a:prstGeom prst="rect">
            <a:avLst/>
          </a:prstGeom>
          <a:solidFill>
            <a:srgbClr val="F79646">
              <a:lumMod val="40000"/>
              <a:lumOff val="60000"/>
            </a:srgbClr>
          </a:solidFill>
          <a:ln>
            <a:solidFill>
              <a:srgbClr val="F79646"/>
            </a:solidFill>
          </a:ln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9pPr>
          </a:lstStyle>
          <a:p>
            <a:pPr algn="ctr"/>
            <a:r>
              <a:rPr lang="en-SG" sz="1200"/>
              <a:t>Forecast Electricity Consumption</a:t>
            </a:r>
          </a:p>
        </xdr:txBody>
      </xdr:sp>
      <xdr:sp macro="" textlink="">
        <xdr:nvSpPr>
          <xdr:cNvPr id="205" name="TextBox 35">
            <a:extLst>
              <a:ext uri="{FF2B5EF4-FFF2-40B4-BE49-F238E27FC236}">
                <a16:creationId xmlns:a16="http://schemas.microsoft.com/office/drawing/2014/main" id="{9D1CA522-C107-4BE4-BAA2-0D95A78336F0}"/>
              </a:ext>
            </a:extLst>
          </xdr:cNvPr>
          <xdr:cNvSpPr txBox="1"/>
        </xdr:nvSpPr>
        <xdr:spPr>
          <a:xfrm>
            <a:off x="6308217" y="2066789"/>
            <a:ext cx="1800000" cy="461665"/>
          </a:xfrm>
          <a:prstGeom prst="rect">
            <a:avLst/>
          </a:prstGeom>
          <a:solidFill>
            <a:srgbClr val="F79646">
              <a:lumMod val="40000"/>
              <a:lumOff val="60000"/>
            </a:srgbClr>
          </a:solidFill>
          <a:ln>
            <a:solidFill>
              <a:srgbClr val="F79646"/>
            </a:solidFill>
          </a:ln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9pPr>
          </a:lstStyle>
          <a:p>
            <a:pPr algn="ctr"/>
            <a:r>
              <a:rPr lang="en-SG" sz="1200"/>
              <a:t>Electricity generated with non-renewable energy</a:t>
            </a:r>
          </a:p>
        </xdr:txBody>
      </xdr:sp>
      <xdr:sp macro="" textlink="">
        <xdr:nvSpPr>
          <xdr:cNvPr id="206" name="TextBox 38">
            <a:extLst>
              <a:ext uri="{FF2B5EF4-FFF2-40B4-BE49-F238E27FC236}">
                <a16:creationId xmlns:a16="http://schemas.microsoft.com/office/drawing/2014/main" id="{F414D426-76B3-4168-9509-5EFB8C05230F}"/>
              </a:ext>
            </a:extLst>
          </xdr:cNvPr>
          <xdr:cNvSpPr txBox="1"/>
        </xdr:nvSpPr>
        <xdr:spPr>
          <a:xfrm>
            <a:off x="1847211" y="1642175"/>
            <a:ext cx="1800000" cy="276999"/>
          </a:xfrm>
          <a:prstGeom prst="rect">
            <a:avLst/>
          </a:prstGeom>
          <a:solidFill>
            <a:srgbClr val="9BBB59">
              <a:lumMod val="40000"/>
              <a:lumOff val="60000"/>
            </a:srgbClr>
          </a:solidFill>
          <a:ln>
            <a:solidFill>
              <a:srgbClr val="9BBB59"/>
            </a:solidFill>
          </a:ln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9pPr>
          </a:lstStyle>
          <a:p>
            <a:pPr algn="ctr"/>
            <a:r>
              <a:rPr lang="en-SG" sz="1200"/>
              <a:t>Solar capacity growth</a:t>
            </a:r>
          </a:p>
        </xdr:txBody>
      </xdr:sp>
      <xdr:sp macro="" textlink="">
        <xdr:nvSpPr>
          <xdr:cNvPr id="207" name="TextBox 39">
            <a:extLst>
              <a:ext uri="{FF2B5EF4-FFF2-40B4-BE49-F238E27FC236}">
                <a16:creationId xmlns:a16="http://schemas.microsoft.com/office/drawing/2014/main" id="{D6CCC6B9-EC15-49B4-8FBC-205F9026E965}"/>
              </a:ext>
            </a:extLst>
          </xdr:cNvPr>
          <xdr:cNvSpPr txBox="1"/>
        </xdr:nvSpPr>
        <xdr:spPr>
          <a:xfrm>
            <a:off x="4189416" y="1977888"/>
            <a:ext cx="1800000" cy="276999"/>
          </a:xfrm>
          <a:prstGeom prst="rect">
            <a:avLst/>
          </a:prstGeom>
          <a:solidFill>
            <a:srgbClr val="F79646">
              <a:lumMod val="40000"/>
              <a:lumOff val="60000"/>
            </a:srgbClr>
          </a:solidFill>
          <a:ln>
            <a:solidFill>
              <a:srgbClr val="F79646"/>
            </a:solidFill>
          </a:ln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9pPr>
          </a:lstStyle>
          <a:p>
            <a:pPr algn="ctr"/>
            <a:r>
              <a:rPr lang="en-SG" sz="1200"/>
              <a:t>Projected solar capacity</a:t>
            </a:r>
          </a:p>
        </xdr:txBody>
      </xdr:sp>
      <xdr:sp macro="" textlink="">
        <xdr:nvSpPr>
          <xdr:cNvPr id="208" name="TextBox 40">
            <a:extLst>
              <a:ext uri="{FF2B5EF4-FFF2-40B4-BE49-F238E27FC236}">
                <a16:creationId xmlns:a16="http://schemas.microsoft.com/office/drawing/2014/main" id="{4A2083B5-9EEC-4E39-91A3-34B249092311}"/>
              </a:ext>
            </a:extLst>
          </xdr:cNvPr>
          <xdr:cNvSpPr txBox="1"/>
        </xdr:nvSpPr>
        <xdr:spPr>
          <a:xfrm>
            <a:off x="6308217" y="2985059"/>
            <a:ext cx="1800000" cy="461665"/>
          </a:xfrm>
          <a:prstGeom prst="rect">
            <a:avLst/>
          </a:prstGeom>
          <a:solidFill>
            <a:srgbClr val="FFFFCC"/>
          </a:solidFill>
          <a:ln>
            <a:solidFill>
              <a:srgbClr val="FFCC00"/>
            </a:solidFill>
          </a:ln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9pPr>
          </a:lstStyle>
          <a:p>
            <a:pPr algn="ctr"/>
            <a:r>
              <a:rPr lang="en-SG" sz="1200"/>
              <a:t>Forecast Emission from power generation</a:t>
            </a:r>
          </a:p>
        </xdr:txBody>
      </xdr:sp>
      <xdr:sp macro="" textlink="">
        <xdr:nvSpPr>
          <xdr:cNvPr id="209" name="TextBox 41">
            <a:extLst>
              <a:ext uri="{FF2B5EF4-FFF2-40B4-BE49-F238E27FC236}">
                <a16:creationId xmlns:a16="http://schemas.microsoft.com/office/drawing/2014/main" id="{066CBF8B-2352-47B5-B54F-A2D26029AD57}"/>
              </a:ext>
            </a:extLst>
          </xdr:cNvPr>
          <xdr:cNvSpPr txBox="1"/>
        </xdr:nvSpPr>
        <xdr:spPr>
          <a:xfrm>
            <a:off x="1847211" y="3759690"/>
            <a:ext cx="1800000" cy="276999"/>
          </a:xfrm>
          <a:prstGeom prst="rect">
            <a:avLst/>
          </a:prstGeom>
          <a:solidFill>
            <a:srgbClr val="9BBB59">
              <a:lumMod val="40000"/>
              <a:lumOff val="60000"/>
            </a:srgbClr>
          </a:solidFill>
          <a:ln>
            <a:solidFill>
              <a:srgbClr val="9BBB59"/>
            </a:solidFill>
          </a:ln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9pPr>
          </a:lstStyle>
          <a:p>
            <a:pPr algn="ctr"/>
            <a:r>
              <a:rPr lang="en-SG" sz="1200"/>
              <a:t>IIP</a:t>
            </a:r>
          </a:p>
        </xdr:txBody>
      </xdr:sp>
      <xdr:sp macro="" textlink="">
        <xdr:nvSpPr>
          <xdr:cNvPr id="210" name="TextBox 42">
            <a:extLst>
              <a:ext uri="{FF2B5EF4-FFF2-40B4-BE49-F238E27FC236}">
                <a16:creationId xmlns:a16="http://schemas.microsoft.com/office/drawing/2014/main" id="{0848994E-A548-430F-B536-320FF3E5B0C8}"/>
              </a:ext>
            </a:extLst>
          </xdr:cNvPr>
          <xdr:cNvSpPr txBox="1"/>
        </xdr:nvSpPr>
        <xdr:spPr>
          <a:xfrm>
            <a:off x="4189416" y="3940801"/>
            <a:ext cx="1800000" cy="276999"/>
          </a:xfrm>
          <a:prstGeom prst="rect">
            <a:avLst/>
          </a:prstGeom>
          <a:solidFill>
            <a:srgbClr val="F79646">
              <a:lumMod val="40000"/>
              <a:lumOff val="60000"/>
            </a:srgbClr>
          </a:solidFill>
          <a:ln>
            <a:solidFill>
              <a:srgbClr val="F79646"/>
            </a:solidFill>
          </a:ln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9pPr>
          </a:lstStyle>
          <a:p>
            <a:pPr algn="ctr"/>
            <a:r>
              <a:rPr lang="en-SG" sz="1200"/>
              <a:t>Forecast IIP</a:t>
            </a:r>
          </a:p>
        </xdr:txBody>
      </xdr:sp>
      <xdr:sp macro="" textlink="">
        <xdr:nvSpPr>
          <xdr:cNvPr id="211" name="TextBox 43">
            <a:extLst>
              <a:ext uri="{FF2B5EF4-FFF2-40B4-BE49-F238E27FC236}">
                <a16:creationId xmlns:a16="http://schemas.microsoft.com/office/drawing/2014/main" id="{B01919EC-09ED-4C9E-8B6C-221A1E025B34}"/>
              </a:ext>
            </a:extLst>
          </xdr:cNvPr>
          <xdr:cNvSpPr txBox="1"/>
        </xdr:nvSpPr>
        <xdr:spPr>
          <a:xfrm>
            <a:off x="6308217" y="3848468"/>
            <a:ext cx="1800000" cy="461665"/>
          </a:xfrm>
          <a:prstGeom prst="rect">
            <a:avLst/>
          </a:prstGeom>
          <a:solidFill>
            <a:srgbClr val="FFFFCC"/>
          </a:solidFill>
          <a:ln>
            <a:solidFill>
              <a:srgbClr val="FFCC00"/>
            </a:solidFill>
          </a:ln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9pPr>
          </a:lstStyle>
          <a:p>
            <a:pPr algn="ctr"/>
            <a:r>
              <a:rPr lang="en-SG" sz="1200"/>
              <a:t>Forecast industrial emission</a:t>
            </a:r>
          </a:p>
        </xdr:txBody>
      </xdr:sp>
      <xdr:sp macro="" textlink="">
        <xdr:nvSpPr>
          <xdr:cNvPr id="212" name="TextBox 44">
            <a:extLst>
              <a:ext uri="{FF2B5EF4-FFF2-40B4-BE49-F238E27FC236}">
                <a16:creationId xmlns:a16="http://schemas.microsoft.com/office/drawing/2014/main" id="{682AD32F-81F6-4C32-9FDD-521A80F3A2FC}"/>
              </a:ext>
            </a:extLst>
          </xdr:cNvPr>
          <xdr:cNvSpPr txBox="1"/>
        </xdr:nvSpPr>
        <xdr:spPr>
          <a:xfrm>
            <a:off x="1847211" y="4731197"/>
            <a:ext cx="1800000" cy="276999"/>
          </a:xfrm>
          <a:prstGeom prst="rect">
            <a:avLst/>
          </a:prstGeom>
          <a:solidFill>
            <a:srgbClr val="9BBB59">
              <a:lumMod val="40000"/>
              <a:lumOff val="60000"/>
            </a:srgbClr>
          </a:solidFill>
          <a:ln>
            <a:solidFill>
              <a:srgbClr val="9BBB59"/>
            </a:solidFill>
          </a:ln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9pPr>
          </a:lstStyle>
          <a:p>
            <a:pPr algn="ctr"/>
            <a:r>
              <a:rPr lang="en-SG" sz="1200"/>
              <a:t>Transport Emission</a:t>
            </a:r>
          </a:p>
        </xdr:txBody>
      </xdr:sp>
      <xdr:sp macro="" textlink="">
        <xdr:nvSpPr>
          <xdr:cNvPr id="213" name="TextBox 45">
            <a:extLst>
              <a:ext uri="{FF2B5EF4-FFF2-40B4-BE49-F238E27FC236}">
                <a16:creationId xmlns:a16="http://schemas.microsoft.com/office/drawing/2014/main" id="{C6CCA966-D9A8-463B-86F5-2DC88D938A8B}"/>
              </a:ext>
            </a:extLst>
          </xdr:cNvPr>
          <xdr:cNvSpPr txBox="1"/>
        </xdr:nvSpPr>
        <xdr:spPr>
          <a:xfrm>
            <a:off x="6308217" y="4638864"/>
            <a:ext cx="1800000" cy="461665"/>
          </a:xfrm>
          <a:prstGeom prst="rect">
            <a:avLst/>
          </a:prstGeom>
          <a:solidFill>
            <a:srgbClr val="FFFFCC"/>
          </a:solidFill>
          <a:ln>
            <a:solidFill>
              <a:srgbClr val="FFCC00"/>
            </a:solidFill>
          </a:ln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9pPr>
          </a:lstStyle>
          <a:p>
            <a:pPr algn="ctr"/>
            <a:r>
              <a:rPr lang="en-SG" sz="1200"/>
              <a:t>Forecast Transport Emission</a:t>
            </a:r>
          </a:p>
        </xdr:txBody>
      </xdr:sp>
      <xdr:sp macro="" textlink="">
        <xdr:nvSpPr>
          <xdr:cNvPr id="214" name="TextBox 46">
            <a:extLst>
              <a:ext uri="{FF2B5EF4-FFF2-40B4-BE49-F238E27FC236}">
                <a16:creationId xmlns:a16="http://schemas.microsoft.com/office/drawing/2014/main" id="{22C37BDD-C135-481C-AAB8-164251EF26E7}"/>
              </a:ext>
            </a:extLst>
          </xdr:cNvPr>
          <xdr:cNvSpPr txBox="1"/>
        </xdr:nvSpPr>
        <xdr:spPr>
          <a:xfrm>
            <a:off x="1847211" y="5286080"/>
            <a:ext cx="1800000" cy="461665"/>
          </a:xfrm>
          <a:prstGeom prst="rect">
            <a:avLst/>
          </a:prstGeom>
          <a:solidFill>
            <a:srgbClr val="9BBB59">
              <a:lumMod val="40000"/>
              <a:lumOff val="60000"/>
            </a:srgbClr>
          </a:solidFill>
          <a:ln>
            <a:solidFill>
              <a:srgbClr val="9BBB59"/>
            </a:solidFill>
          </a:ln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9pPr>
          </a:lstStyle>
          <a:p>
            <a:pPr algn="ctr"/>
            <a:r>
              <a:rPr lang="en-SG" sz="1200"/>
              <a:t>Other emission as a ratio to total emission</a:t>
            </a:r>
          </a:p>
        </xdr:txBody>
      </xdr:sp>
      <xdr:sp macro="" textlink="">
        <xdr:nvSpPr>
          <xdr:cNvPr id="215" name="TextBox 47">
            <a:extLst>
              <a:ext uri="{FF2B5EF4-FFF2-40B4-BE49-F238E27FC236}">
                <a16:creationId xmlns:a16="http://schemas.microsoft.com/office/drawing/2014/main" id="{0B395AE2-8524-4823-8440-32C74725EDB9}"/>
              </a:ext>
            </a:extLst>
          </xdr:cNvPr>
          <xdr:cNvSpPr txBox="1"/>
        </xdr:nvSpPr>
        <xdr:spPr>
          <a:xfrm>
            <a:off x="6308217" y="5378413"/>
            <a:ext cx="1800000" cy="276999"/>
          </a:xfrm>
          <a:prstGeom prst="rect">
            <a:avLst/>
          </a:prstGeom>
          <a:solidFill>
            <a:srgbClr val="FFFFCC"/>
          </a:solidFill>
          <a:ln>
            <a:solidFill>
              <a:srgbClr val="FFCC00"/>
            </a:solidFill>
          </a:ln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9pPr>
          </a:lstStyle>
          <a:p>
            <a:pPr algn="ctr"/>
            <a:r>
              <a:rPr lang="en-SG" sz="1200"/>
              <a:t>Forecast Other Emission</a:t>
            </a:r>
          </a:p>
        </xdr:txBody>
      </xdr:sp>
      <xdr:cxnSp macro="">
        <xdr:nvCxnSpPr>
          <xdr:cNvPr id="216" name="Connector: Elbow 215">
            <a:extLst>
              <a:ext uri="{FF2B5EF4-FFF2-40B4-BE49-F238E27FC236}">
                <a16:creationId xmlns:a16="http://schemas.microsoft.com/office/drawing/2014/main" id="{DAF84267-2428-4E12-835D-29BC16E22B28}"/>
              </a:ext>
            </a:extLst>
          </xdr:cNvPr>
          <xdr:cNvCxnSpPr>
            <a:cxnSpLocks/>
            <a:stCxn id="208" idx="3"/>
            <a:endCxn id="215" idx="3"/>
          </xdr:cNvCxnSpPr>
        </xdr:nvCxnSpPr>
        <xdr:spPr>
          <a:xfrm>
            <a:off x="8108217" y="3215892"/>
            <a:ext cx="12700" cy="2301021"/>
          </a:xfrm>
          <a:prstGeom prst="bentConnector3">
            <a:avLst>
              <a:gd name="adj1" fmla="val 1800000"/>
            </a:avLst>
          </a:prstGeom>
          <a:noFill/>
          <a:ln w="6350" cap="flat" cmpd="sng" algn="ctr">
            <a:solidFill>
              <a:srgbClr val="4F81BD"/>
            </a:solidFill>
            <a:prstDash val="solid"/>
            <a:miter lim="800000"/>
            <a:tailEnd type="triangle"/>
          </a:ln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7" name="Connector: Elbow 216">
            <a:extLst>
              <a:ext uri="{FF2B5EF4-FFF2-40B4-BE49-F238E27FC236}">
                <a16:creationId xmlns:a16="http://schemas.microsoft.com/office/drawing/2014/main" id="{8559A4E7-77B3-4EC8-8FFB-920D67680532}"/>
              </a:ext>
            </a:extLst>
          </xdr:cNvPr>
          <xdr:cNvCxnSpPr>
            <a:cxnSpLocks/>
            <a:stCxn id="211" idx="3"/>
            <a:endCxn id="215" idx="3"/>
          </xdr:cNvCxnSpPr>
        </xdr:nvCxnSpPr>
        <xdr:spPr>
          <a:xfrm>
            <a:off x="8108217" y="4079301"/>
            <a:ext cx="12700" cy="1437612"/>
          </a:xfrm>
          <a:prstGeom prst="bentConnector3">
            <a:avLst>
              <a:gd name="adj1" fmla="val 1800000"/>
            </a:avLst>
          </a:prstGeom>
          <a:noFill/>
          <a:ln w="6350" cap="flat" cmpd="sng" algn="ctr">
            <a:solidFill>
              <a:srgbClr val="4F81BD"/>
            </a:solidFill>
            <a:prstDash val="solid"/>
            <a:miter lim="800000"/>
            <a:tailEnd type="triangle"/>
          </a:ln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8" name="Connector: Elbow 217">
            <a:extLst>
              <a:ext uri="{FF2B5EF4-FFF2-40B4-BE49-F238E27FC236}">
                <a16:creationId xmlns:a16="http://schemas.microsoft.com/office/drawing/2014/main" id="{74A929F9-2641-4A68-B42C-FE23DD36AE48}"/>
              </a:ext>
            </a:extLst>
          </xdr:cNvPr>
          <xdr:cNvCxnSpPr>
            <a:cxnSpLocks/>
            <a:stCxn id="213" idx="3"/>
            <a:endCxn id="215" idx="3"/>
          </xdr:cNvCxnSpPr>
        </xdr:nvCxnSpPr>
        <xdr:spPr>
          <a:xfrm>
            <a:off x="8108217" y="4869697"/>
            <a:ext cx="12700" cy="647216"/>
          </a:xfrm>
          <a:prstGeom prst="bentConnector3">
            <a:avLst>
              <a:gd name="adj1" fmla="val 1800000"/>
            </a:avLst>
          </a:prstGeom>
          <a:noFill/>
          <a:ln w="6350" cap="flat" cmpd="sng" algn="ctr">
            <a:solidFill>
              <a:srgbClr val="4F81BD"/>
            </a:solidFill>
            <a:prstDash val="solid"/>
            <a:miter lim="800000"/>
            <a:tailEnd type="triangle"/>
          </a:ln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9" name="TextBox 79">
            <a:extLst>
              <a:ext uri="{FF2B5EF4-FFF2-40B4-BE49-F238E27FC236}">
                <a16:creationId xmlns:a16="http://schemas.microsoft.com/office/drawing/2014/main" id="{732D3191-F882-4F0F-ABA0-288A8708EA0A}"/>
              </a:ext>
            </a:extLst>
          </xdr:cNvPr>
          <xdr:cNvSpPr txBox="1"/>
        </xdr:nvSpPr>
        <xdr:spPr>
          <a:xfrm>
            <a:off x="1847211" y="1072120"/>
            <a:ext cx="1800000" cy="276999"/>
          </a:xfrm>
          <a:prstGeom prst="rect">
            <a:avLst/>
          </a:prstGeom>
          <a:solidFill>
            <a:srgbClr val="9BBB59">
              <a:lumMod val="40000"/>
              <a:lumOff val="60000"/>
            </a:srgbClr>
          </a:solidFill>
          <a:ln>
            <a:solidFill>
              <a:srgbClr val="9BBB59"/>
            </a:solidFill>
          </a:ln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9pPr>
          </a:lstStyle>
          <a:p>
            <a:pPr algn="ctr"/>
            <a:r>
              <a:rPr lang="en-SG" sz="1200"/>
              <a:t>Electricity Consumption</a:t>
            </a:r>
          </a:p>
        </xdr:txBody>
      </xdr:sp>
      <xdr:sp macro="" textlink="">
        <xdr:nvSpPr>
          <xdr:cNvPr id="220" name="TextBox 80">
            <a:extLst>
              <a:ext uri="{FF2B5EF4-FFF2-40B4-BE49-F238E27FC236}">
                <a16:creationId xmlns:a16="http://schemas.microsoft.com/office/drawing/2014/main" id="{0F958CF8-3CA7-44F1-8816-9AAC43AD587D}"/>
              </a:ext>
            </a:extLst>
          </xdr:cNvPr>
          <xdr:cNvSpPr txBox="1"/>
        </xdr:nvSpPr>
        <xdr:spPr>
          <a:xfrm>
            <a:off x="1847211" y="2649317"/>
            <a:ext cx="1800000" cy="276999"/>
          </a:xfrm>
          <a:prstGeom prst="rect">
            <a:avLst/>
          </a:prstGeom>
          <a:solidFill>
            <a:srgbClr val="9BBB59">
              <a:lumMod val="40000"/>
              <a:lumOff val="60000"/>
            </a:srgbClr>
          </a:solidFill>
          <a:ln>
            <a:solidFill>
              <a:srgbClr val="9BBB59"/>
            </a:solidFill>
          </a:ln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9pPr>
          </a:lstStyle>
          <a:p>
            <a:pPr algn="ctr"/>
            <a:r>
              <a:rPr lang="en-SG" sz="1200"/>
              <a:t>Electricity plant mix %</a:t>
            </a:r>
          </a:p>
        </xdr:txBody>
      </xdr:sp>
      <xdr:sp macro="" textlink="">
        <xdr:nvSpPr>
          <xdr:cNvPr id="221" name="TextBox 81">
            <a:extLst>
              <a:ext uri="{FF2B5EF4-FFF2-40B4-BE49-F238E27FC236}">
                <a16:creationId xmlns:a16="http://schemas.microsoft.com/office/drawing/2014/main" id="{28FAB03F-AA0A-4C3D-840F-46031511E296}"/>
              </a:ext>
            </a:extLst>
          </xdr:cNvPr>
          <xdr:cNvSpPr txBox="1"/>
        </xdr:nvSpPr>
        <xdr:spPr>
          <a:xfrm>
            <a:off x="1847211" y="4125865"/>
            <a:ext cx="1800000" cy="276999"/>
          </a:xfrm>
          <a:prstGeom prst="rect">
            <a:avLst/>
          </a:prstGeom>
          <a:solidFill>
            <a:srgbClr val="9BBB59">
              <a:lumMod val="40000"/>
              <a:lumOff val="60000"/>
            </a:srgbClr>
          </a:solidFill>
          <a:ln>
            <a:solidFill>
              <a:srgbClr val="9BBB59"/>
            </a:solidFill>
          </a:ln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9pPr>
          </a:lstStyle>
          <a:p>
            <a:pPr algn="ctr"/>
            <a:r>
              <a:rPr lang="en-SG" sz="1200"/>
              <a:t>Industrial emission</a:t>
            </a:r>
          </a:p>
        </xdr:txBody>
      </xdr:sp>
      <xdr:sp macro="" textlink="">
        <xdr:nvSpPr>
          <xdr:cNvPr id="222" name="TextBox 83">
            <a:extLst>
              <a:ext uri="{FF2B5EF4-FFF2-40B4-BE49-F238E27FC236}">
                <a16:creationId xmlns:a16="http://schemas.microsoft.com/office/drawing/2014/main" id="{5890BF33-0658-4AD4-B74C-51ABFC6A148B}"/>
              </a:ext>
            </a:extLst>
          </xdr:cNvPr>
          <xdr:cNvSpPr txBox="1"/>
        </xdr:nvSpPr>
        <xdr:spPr>
          <a:xfrm>
            <a:off x="4189416" y="2552993"/>
            <a:ext cx="1800000" cy="461665"/>
          </a:xfrm>
          <a:prstGeom prst="rect">
            <a:avLst/>
          </a:prstGeom>
          <a:solidFill>
            <a:srgbClr val="F79646">
              <a:lumMod val="40000"/>
              <a:lumOff val="60000"/>
            </a:srgbClr>
          </a:solidFill>
          <a:ln>
            <a:solidFill>
              <a:srgbClr val="F79646"/>
            </a:solidFill>
          </a:ln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9pPr>
          </a:lstStyle>
          <a:p>
            <a:pPr algn="ctr"/>
            <a:r>
              <a:rPr lang="en-SG" sz="1200"/>
              <a:t>Electricity generated with solar energy</a:t>
            </a:r>
          </a:p>
        </xdr:txBody>
      </xdr:sp>
      <xdr:sp macro="" textlink="">
        <xdr:nvSpPr>
          <xdr:cNvPr id="223" name="TextBox 88">
            <a:extLst>
              <a:ext uri="{FF2B5EF4-FFF2-40B4-BE49-F238E27FC236}">
                <a16:creationId xmlns:a16="http://schemas.microsoft.com/office/drawing/2014/main" id="{0D55E3D6-CAFC-4109-B2F5-D57D675CF568}"/>
              </a:ext>
            </a:extLst>
          </xdr:cNvPr>
          <xdr:cNvSpPr txBox="1"/>
        </xdr:nvSpPr>
        <xdr:spPr>
          <a:xfrm>
            <a:off x="1847211" y="1977889"/>
            <a:ext cx="1800000" cy="276999"/>
          </a:xfrm>
          <a:prstGeom prst="rect">
            <a:avLst/>
          </a:prstGeom>
          <a:solidFill>
            <a:srgbClr val="9BBB59">
              <a:lumMod val="40000"/>
              <a:lumOff val="60000"/>
            </a:srgbClr>
          </a:solidFill>
          <a:ln>
            <a:solidFill>
              <a:srgbClr val="9BBB59"/>
            </a:solidFill>
          </a:ln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9pPr>
          </a:lstStyle>
          <a:p>
            <a:pPr algn="ctr"/>
            <a:r>
              <a:rPr lang="en-SG" sz="1200"/>
              <a:t>2030 Solar Capacity Goal</a:t>
            </a:r>
          </a:p>
        </xdr:txBody>
      </xdr:sp>
      <xdr:sp macro="" textlink="">
        <xdr:nvSpPr>
          <xdr:cNvPr id="224" name="TextBox 89">
            <a:extLst>
              <a:ext uri="{FF2B5EF4-FFF2-40B4-BE49-F238E27FC236}">
                <a16:creationId xmlns:a16="http://schemas.microsoft.com/office/drawing/2014/main" id="{A6193448-01F9-4005-B3B7-E1CE3F040D54}"/>
              </a:ext>
            </a:extLst>
          </xdr:cNvPr>
          <xdr:cNvSpPr txBox="1"/>
        </xdr:nvSpPr>
        <xdr:spPr>
          <a:xfrm>
            <a:off x="1847211" y="2313603"/>
            <a:ext cx="1800000" cy="276999"/>
          </a:xfrm>
          <a:prstGeom prst="rect">
            <a:avLst/>
          </a:prstGeom>
          <a:solidFill>
            <a:srgbClr val="9BBB59">
              <a:lumMod val="40000"/>
              <a:lumOff val="60000"/>
            </a:srgbClr>
          </a:solidFill>
          <a:ln>
            <a:solidFill>
              <a:srgbClr val="9BBB59"/>
            </a:solidFill>
          </a:ln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9pPr>
          </a:lstStyle>
          <a:p>
            <a:pPr algn="ctr"/>
            <a:r>
              <a:rPr lang="en-SG" sz="1200"/>
              <a:t>Solar Power Specific Yield</a:t>
            </a:r>
          </a:p>
        </xdr:txBody>
      </xdr:sp>
      <xdr:sp macro="" textlink="">
        <xdr:nvSpPr>
          <xdr:cNvPr id="225" name="TextBox 91">
            <a:extLst>
              <a:ext uri="{FF2B5EF4-FFF2-40B4-BE49-F238E27FC236}">
                <a16:creationId xmlns:a16="http://schemas.microsoft.com/office/drawing/2014/main" id="{5B704F99-2683-4588-9343-88B894B2265B}"/>
              </a:ext>
            </a:extLst>
          </xdr:cNvPr>
          <xdr:cNvSpPr txBox="1"/>
        </xdr:nvSpPr>
        <xdr:spPr>
          <a:xfrm>
            <a:off x="1847211" y="2985029"/>
            <a:ext cx="1800000" cy="461665"/>
          </a:xfrm>
          <a:prstGeom prst="rect">
            <a:avLst/>
          </a:prstGeom>
          <a:solidFill>
            <a:srgbClr val="9BBB59">
              <a:lumMod val="40000"/>
              <a:lumOff val="60000"/>
            </a:srgbClr>
          </a:solidFill>
          <a:ln>
            <a:solidFill>
              <a:srgbClr val="9BBB59"/>
            </a:solidFill>
          </a:ln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9pPr>
          </a:lstStyle>
          <a:p>
            <a:pPr algn="ctr"/>
            <a:r>
              <a:rPr lang="en-SG" sz="1200"/>
              <a:t>Emission from non-renewable energy source</a:t>
            </a:r>
          </a:p>
        </xdr:txBody>
      </xdr:sp>
      <xdr:cxnSp macro="">
        <xdr:nvCxnSpPr>
          <xdr:cNvPr id="226" name="Straight Arrow Connector 225">
            <a:extLst>
              <a:ext uri="{FF2B5EF4-FFF2-40B4-BE49-F238E27FC236}">
                <a16:creationId xmlns:a16="http://schemas.microsoft.com/office/drawing/2014/main" id="{E9B2A76B-8F27-40C1-8435-1F8CADA59A62}"/>
              </a:ext>
            </a:extLst>
          </xdr:cNvPr>
          <xdr:cNvCxnSpPr>
            <a:stCxn id="214" idx="3"/>
            <a:endCxn id="215" idx="1"/>
          </xdr:cNvCxnSpPr>
        </xdr:nvCxnSpPr>
        <xdr:spPr>
          <a:xfrm>
            <a:off x="3647211" y="5516913"/>
            <a:ext cx="2661006" cy="0"/>
          </a:xfrm>
          <a:prstGeom prst="straightConnector1">
            <a:avLst/>
          </a:prstGeom>
          <a:noFill/>
          <a:ln w="6350" cap="flat" cmpd="sng" algn="ctr">
            <a:solidFill>
              <a:srgbClr val="4F81BD"/>
            </a:solidFill>
            <a:prstDash val="solid"/>
            <a:miter lim="800000"/>
            <a:tailEnd type="triangle"/>
          </a:ln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7" name="Connector: Elbow 226">
            <a:extLst>
              <a:ext uri="{FF2B5EF4-FFF2-40B4-BE49-F238E27FC236}">
                <a16:creationId xmlns:a16="http://schemas.microsoft.com/office/drawing/2014/main" id="{E42AA714-EB82-4D20-86A8-56E1A8793735}"/>
              </a:ext>
            </a:extLst>
          </xdr:cNvPr>
          <xdr:cNvCxnSpPr>
            <a:stCxn id="203" idx="3"/>
            <a:endCxn id="204" idx="1"/>
          </xdr:cNvCxnSpPr>
        </xdr:nvCxnSpPr>
        <xdr:spPr>
          <a:xfrm>
            <a:off x="3647211" y="841289"/>
            <a:ext cx="542205" cy="171572"/>
          </a:xfrm>
          <a:prstGeom prst="bentConnector3">
            <a:avLst>
              <a:gd name="adj1" fmla="val 50000"/>
            </a:avLst>
          </a:prstGeom>
          <a:noFill/>
          <a:ln w="6350" cap="flat" cmpd="sng" algn="ctr">
            <a:solidFill>
              <a:srgbClr val="4F81BD"/>
            </a:solidFill>
            <a:prstDash val="solid"/>
            <a:miter lim="800000"/>
            <a:tailEnd type="triangle"/>
          </a:ln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" name="Connector: Elbow 227">
            <a:extLst>
              <a:ext uri="{FF2B5EF4-FFF2-40B4-BE49-F238E27FC236}">
                <a16:creationId xmlns:a16="http://schemas.microsoft.com/office/drawing/2014/main" id="{2FC7FC68-7141-4998-96DB-987151085D0A}"/>
              </a:ext>
            </a:extLst>
          </xdr:cNvPr>
          <xdr:cNvCxnSpPr>
            <a:cxnSpLocks/>
            <a:stCxn id="219" idx="3"/>
            <a:endCxn id="204" idx="1"/>
          </xdr:cNvCxnSpPr>
        </xdr:nvCxnSpPr>
        <xdr:spPr>
          <a:xfrm flipV="1">
            <a:off x="3647211" y="1012861"/>
            <a:ext cx="542205" cy="197759"/>
          </a:xfrm>
          <a:prstGeom prst="bentConnector3">
            <a:avLst>
              <a:gd name="adj1" fmla="val 50000"/>
            </a:avLst>
          </a:prstGeom>
          <a:noFill/>
          <a:ln w="6350" cap="flat" cmpd="sng" algn="ctr">
            <a:solidFill>
              <a:srgbClr val="4F81BD"/>
            </a:solidFill>
            <a:prstDash val="solid"/>
            <a:miter lim="800000"/>
            <a:tailEnd type="triangle"/>
          </a:ln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9" name="Connector: Elbow 228">
            <a:extLst>
              <a:ext uri="{FF2B5EF4-FFF2-40B4-BE49-F238E27FC236}">
                <a16:creationId xmlns:a16="http://schemas.microsoft.com/office/drawing/2014/main" id="{B4ACFC11-3A7F-4AD6-B94D-604C74547992}"/>
              </a:ext>
            </a:extLst>
          </xdr:cNvPr>
          <xdr:cNvCxnSpPr>
            <a:cxnSpLocks/>
            <a:stCxn id="206" idx="3"/>
            <a:endCxn id="207" idx="1"/>
          </xdr:cNvCxnSpPr>
        </xdr:nvCxnSpPr>
        <xdr:spPr>
          <a:xfrm>
            <a:off x="3647211" y="1780675"/>
            <a:ext cx="542205" cy="335713"/>
          </a:xfrm>
          <a:prstGeom prst="bentConnector3">
            <a:avLst>
              <a:gd name="adj1" fmla="val 50000"/>
            </a:avLst>
          </a:prstGeom>
          <a:noFill/>
          <a:ln w="6350" cap="flat" cmpd="sng" algn="ctr">
            <a:solidFill>
              <a:srgbClr val="4F81BD"/>
            </a:solidFill>
            <a:prstDash val="solid"/>
            <a:miter lim="800000"/>
            <a:tailEnd type="triangle"/>
          </a:ln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0" name="Connector: Elbow 229">
            <a:extLst>
              <a:ext uri="{FF2B5EF4-FFF2-40B4-BE49-F238E27FC236}">
                <a16:creationId xmlns:a16="http://schemas.microsoft.com/office/drawing/2014/main" id="{3388DAEB-0D12-48F1-A263-2E46F57AA4C2}"/>
              </a:ext>
            </a:extLst>
          </xdr:cNvPr>
          <xdr:cNvCxnSpPr>
            <a:cxnSpLocks/>
            <a:stCxn id="223" idx="3"/>
            <a:endCxn id="207" idx="1"/>
          </xdr:cNvCxnSpPr>
        </xdr:nvCxnSpPr>
        <xdr:spPr>
          <a:xfrm flipV="1">
            <a:off x="3647211" y="2116388"/>
            <a:ext cx="542205" cy="1"/>
          </a:xfrm>
          <a:prstGeom prst="bentConnector3">
            <a:avLst>
              <a:gd name="adj1" fmla="val 50000"/>
            </a:avLst>
          </a:prstGeom>
          <a:noFill/>
          <a:ln w="6350" cap="flat" cmpd="sng" algn="ctr">
            <a:solidFill>
              <a:srgbClr val="4F81BD"/>
            </a:solidFill>
            <a:prstDash val="solid"/>
            <a:miter lim="800000"/>
            <a:tailEnd type="triangle"/>
          </a:ln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1" name="Straight Arrow Connector 230">
            <a:extLst>
              <a:ext uri="{FF2B5EF4-FFF2-40B4-BE49-F238E27FC236}">
                <a16:creationId xmlns:a16="http://schemas.microsoft.com/office/drawing/2014/main" id="{B2E84B0D-3AA5-42CB-A918-154F1E9DF081}"/>
              </a:ext>
            </a:extLst>
          </xdr:cNvPr>
          <xdr:cNvCxnSpPr>
            <a:cxnSpLocks/>
            <a:stCxn id="207" idx="2"/>
            <a:endCxn id="222" idx="0"/>
          </xdr:cNvCxnSpPr>
        </xdr:nvCxnSpPr>
        <xdr:spPr>
          <a:xfrm>
            <a:off x="5089416" y="2254887"/>
            <a:ext cx="0" cy="298106"/>
          </a:xfrm>
          <a:prstGeom prst="straightConnector1">
            <a:avLst/>
          </a:prstGeom>
          <a:noFill/>
          <a:ln w="6350" cap="flat" cmpd="sng" algn="ctr">
            <a:solidFill>
              <a:srgbClr val="4F81BD"/>
            </a:solidFill>
            <a:prstDash val="solid"/>
            <a:miter lim="800000"/>
            <a:tailEnd type="triangle"/>
          </a:ln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2" name="Connector: Elbow 231">
            <a:extLst>
              <a:ext uri="{FF2B5EF4-FFF2-40B4-BE49-F238E27FC236}">
                <a16:creationId xmlns:a16="http://schemas.microsoft.com/office/drawing/2014/main" id="{5DC78407-6189-45B7-A24C-8C8D7E4CE56F}"/>
              </a:ext>
            </a:extLst>
          </xdr:cNvPr>
          <xdr:cNvCxnSpPr>
            <a:cxnSpLocks/>
            <a:stCxn id="204" idx="2"/>
            <a:endCxn id="205" idx="0"/>
          </xdr:cNvCxnSpPr>
        </xdr:nvCxnSpPr>
        <xdr:spPr>
          <a:xfrm rot="16200000" flipH="1">
            <a:off x="5737268" y="595840"/>
            <a:ext cx="823096" cy="2118801"/>
          </a:xfrm>
          <a:prstGeom prst="bentConnector3">
            <a:avLst>
              <a:gd name="adj1" fmla="val 50000"/>
            </a:avLst>
          </a:prstGeom>
          <a:noFill/>
          <a:ln w="6350" cap="flat" cmpd="sng" algn="ctr">
            <a:solidFill>
              <a:srgbClr val="4F81BD"/>
            </a:solidFill>
            <a:prstDash val="solid"/>
            <a:miter lim="800000"/>
            <a:tailEnd type="triangle"/>
          </a:ln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3" name="Connector: Elbow 232">
            <a:extLst>
              <a:ext uri="{FF2B5EF4-FFF2-40B4-BE49-F238E27FC236}">
                <a16:creationId xmlns:a16="http://schemas.microsoft.com/office/drawing/2014/main" id="{843F8BA8-70A0-478F-A638-17B13A06BF5C}"/>
              </a:ext>
            </a:extLst>
          </xdr:cNvPr>
          <xdr:cNvCxnSpPr>
            <a:cxnSpLocks/>
            <a:stCxn id="224" idx="3"/>
            <a:endCxn id="207" idx="1"/>
          </xdr:cNvCxnSpPr>
        </xdr:nvCxnSpPr>
        <xdr:spPr>
          <a:xfrm flipV="1">
            <a:off x="3647211" y="2116388"/>
            <a:ext cx="542205" cy="335715"/>
          </a:xfrm>
          <a:prstGeom prst="bentConnector3">
            <a:avLst>
              <a:gd name="adj1" fmla="val 50000"/>
            </a:avLst>
          </a:prstGeom>
          <a:noFill/>
          <a:ln w="6350" cap="flat" cmpd="sng" algn="ctr">
            <a:solidFill>
              <a:srgbClr val="4F81BD"/>
            </a:solidFill>
            <a:prstDash val="solid"/>
            <a:miter lim="800000"/>
            <a:tailEnd type="triangle"/>
          </a:ln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4" name="Connector: Elbow 233">
            <a:extLst>
              <a:ext uri="{FF2B5EF4-FFF2-40B4-BE49-F238E27FC236}">
                <a16:creationId xmlns:a16="http://schemas.microsoft.com/office/drawing/2014/main" id="{8B05992C-BFC7-46B6-8D3E-31143C7B6988}"/>
              </a:ext>
            </a:extLst>
          </xdr:cNvPr>
          <xdr:cNvCxnSpPr>
            <a:cxnSpLocks/>
            <a:stCxn id="225" idx="3"/>
            <a:endCxn id="208" idx="1"/>
          </xdr:cNvCxnSpPr>
        </xdr:nvCxnSpPr>
        <xdr:spPr>
          <a:xfrm>
            <a:off x="3647211" y="3215862"/>
            <a:ext cx="2661006" cy="30"/>
          </a:xfrm>
          <a:prstGeom prst="bentConnector3">
            <a:avLst>
              <a:gd name="adj1" fmla="val 50000"/>
            </a:avLst>
          </a:prstGeom>
          <a:noFill/>
          <a:ln w="6350" cap="flat" cmpd="sng" algn="ctr">
            <a:solidFill>
              <a:srgbClr val="4F81BD"/>
            </a:solidFill>
            <a:prstDash val="solid"/>
            <a:miter lim="800000"/>
            <a:tailEnd type="triangle"/>
          </a:ln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5" name="Connector: Elbow 234">
            <a:extLst>
              <a:ext uri="{FF2B5EF4-FFF2-40B4-BE49-F238E27FC236}">
                <a16:creationId xmlns:a16="http://schemas.microsoft.com/office/drawing/2014/main" id="{2882D14A-DEA0-4466-9CCD-37F4DEC016B3}"/>
              </a:ext>
            </a:extLst>
          </xdr:cNvPr>
          <xdr:cNvCxnSpPr>
            <a:cxnSpLocks/>
            <a:stCxn id="222" idx="3"/>
            <a:endCxn id="205" idx="1"/>
          </xdr:cNvCxnSpPr>
        </xdr:nvCxnSpPr>
        <xdr:spPr>
          <a:xfrm flipV="1">
            <a:off x="5989416" y="2297622"/>
            <a:ext cx="318801" cy="486204"/>
          </a:xfrm>
          <a:prstGeom prst="bentConnector3">
            <a:avLst>
              <a:gd name="adj1" fmla="val 50000"/>
            </a:avLst>
          </a:prstGeom>
          <a:noFill/>
          <a:ln w="6350" cap="flat" cmpd="sng" algn="ctr">
            <a:solidFill>
              <a:srgbClr val="4F81BD"/>
            </a:solidFill>
            <a:prstDash val="solid"/>
            <a:miter lim="800000"/>
            <a:tailEnd type="triangle"/>
          </a:ln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8DCA1855-5E73-4497-ADD7-3468E0A3863C}"/>
              </a:ext>
            </a:extLst>
          </xdr:cNvPr>
          <xdr:cNvCxnSpPr>
            <a:stCxn id="220" idx="3"/>
            <a:endCxn id="222" idx="1"/>
          </xdr:cNvCxnSpPr>
        </xdr:nvCxnSpPr>
        <xdr:spPr>
          <a:xfrm flipV="1">
            <a:off x="3647211" y="2783826"/>
            <a:ext cx="542205" cy="3991"/>
          </a:xfrm>
          <a:prstGeom prst="straightConnector1">
            <a:avLst/>
          </a:prstGeom>
          <a:noFill/>
          <a:ln w="6350" cap="flat" cmpd="sng" algn="ctr">
            <a:solidFill>
              <a:srgbClr val="4F81BD"/>
            </a:solidFill>
            <a:prstDash val="solid"/>
            <a:miter lim="800000"/>
            <a:tailEnd type="triangle"/>
          </a:ln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7" name="Connector: Elbow 236">
            <a:extLst>
              <a:ext uri="{FF2B5EF4-FFF2-40B4-BE49-F238E27FC236}">
                <a16:creationId xmlns:a16="http://schemas.microsoft.com/office/drawing/2014/main" id="{2F4BC983-2214-45DB-9EAC-966B908E1B89}"/>
              </a:ext>
            </a:extLst>
          </xdr:cNvPr>
          <xdr:cNvCxnSpPr>
            <a:cxnSpLocks/>
            <a:stCxn id="209" idx="3"/>
            <a:endCxn id="210" idx="1"/>
          </xdr:cNvCxnSpPr>
        </xdr:nvCxnSpPr>
        <xdr:spPr>
          <a:xfrm>
            <a:off x="3647211" y="3898190"/>
            <a:ext cx="542205" cy="181111"/>
          </a:xfrm>
          <a:prstGeom prst="bentConnector3">
            <a:avLst>
              <a:gd name="adj1" fmla="val 50000"/>
            </a:avLst>
          </a:prstGeom>
          <a:noFill/>
          <a:ln w="6350" cap="flat" cmpd="sng" algn="ctr">
            <a:solidFill>
              <a:srgbClr val="4F81BD"/>
            </a:solidFill>
            <a:prstDash val="solid"/>
            <a:miter lim="800000"/>
            <a:tailEnd type="triangle"/>
          </a:ln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8" name="Connector: Elbow 237">
            <a:extLst>
              <a:ext uri="{FF2B5EF4-FFF2-40B4-BE49-F238E27FC236}">
                <a16:creationId xmlns:a16="http://schemas.microsoft.com/office/drawing/2014/main" id="{58D43105-558A-483B-AADA-C656F1C54453}"/>
              </a:ext>
            </a:extLst>
          </xdr:cNvPr>
          <xdr:cNvCxnSpPr>
            <a:cxnSpLocks/>
            <a:stCxn id="221" idx="3"/>
            <a:endCxn id="210" idx="1"/>
          </xdr:cNvCxnSpPr>
        </xdr:nvCxnSpPr>
        <xdr:spPr>
          <a:xfrm flipV="1">
            <a:off x="3647211" y="4079301"/>
            <a:ext cx="542205" cy="185064"/>
          </a:xfrm>
          <a:prstGeom prst="bentConnector3">
            <a:avLst>
              <a:gd name="adj1" fmla="val 50000"/>
            </a:avLst>
          </a:prstGeom>
          <a:noFill/>
          <a:ln w="6350" cap="flat" cmpd="sng" algn="ctr">
            <a:solidFill>
              <a:srgbClr val="4F81BD"/>
            </a:solidFill>
            <a:prstDash val="solid"/>
            <a:miter lim="800000"/>
            <a:tailEnd type="triangle"/>
          </a:ln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6420D3DF-FD4A-4828-B15E-854E33B22B66}"/>
              </a:ext>
            </a:extLst>
          </xdr:cNvPr>
          <xdr:cNvCxnSpPr>
            <a:cxnSpLocks/>
            <a:endCxn id="213" idx="1"/>
          </xdr:cNvCxnSpPr>
        </xdr:nvCxnSpPr>
        <xdr:spPr>
          <a:xfrm>
            <a:off x="3653561" y="4869696"/>
            <a:ext cx="2654656" cy="1"/>
          </a:xfrm>
          <a:prstGeom prst="straightConnector1">
            <a:avLst/>
          </a:prstGeom>
          <a:noFill/>
          <a:ln w="6350" cap="flat" cmpd="sng" algn="ctr">
            <a:solidFill>
              <a:srgbClr val="4F81BD"/>
            </a:solidFill>
            <a:prstDash val="solid"/>
            <a:miter lim="800000"/>
            <a:tailEnd type="triangle"/>
          </a:ln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0" name="Straight Arrow Connector 239">
            <a:extLst>
              <a:ext uri="{FF2B5EF4-FFF2-40B4-BE49-F238E27FC236}">
                <a16:creationId xmlns:a16="http://schemas.microsoft.com/office/drawing/2014/main" id="{546F102E-762A-4FBB-AC29-07F94FFEFE1F}"/>
              </a:ext>
            </a:extLst>
          </xdr:cNvPr>
          <xdr:cNvCxnSpPr>
            <a:cxnSpLocks/>
            <a:stCxn id="205" idx="2"/>
            <a:endCxn id="208" idx="0"/>
          </xdr:cNvCxnSpPr>
        </xdr:nvCxnSpPr>
        <xdr:spPr>
          <a:xfrm>
            <a:off x="7208217" y="2528454"/>
            <a:ext cx="0" cy="456605"/>
          </a:xfrm>
          <a:prstGeom prst="straightConnector1">
            <a:avLst/>
          </a:prstGeom>
          <a:noFill/>
          <a:ln w="6350" cap="flat" cmpd="sng" algn="ctr">
            <a:solidFill>
              <a:srgbClr val="4F81BD"/>
            </a:solidFill>
            <a:prstDash val="solid"/>
            <a:miter lim="800000"/>
            <a:tailEnd type="triangle"/>
          </a:ln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1" name="Rectangle: Rounded Corners 240">
            <a:extLst>
              <a:ext uri="{FF2B5EF4-FFF2-40B4-BE49-F238E27FC236}">
                <a16:creationId xmlns:a16="http://schemas.microsoft.com/office/drawing/2014/main" id="{98330FD9-83D1-4579-8040-16E9BD91A4BE}"/>
              </a:ext>
            </a:extLst>
          </xdr:cNvPr>
          <xdr:cNvSpPr/>
        </xdr:nvSpPr>
        <xdr:spPr>
          <a:xfrm>
            <a:off x="6095999" y="2862073"/>
            <a:ext cx="2424685" cy="2952707"/>
          </a:xfrm>
          <a:prstGeom prst="roundRect">
            <a:avLst/>
          </a:prstGeom>
          <a:noFill/>
          <a:ln w="19050" cap="flat" cmpd="sng" algn="ctr">
            <a:solidFill>
              <a:srgbClr val="F79646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" lastClr="FFFFFF"/>
                </a:solidFill>
                <a:latin typeface="Calibri" panose="020F0502020204030204"/>
              </a:defRPr>
            </a:lvl9pPr>
          </a:lstStyle>
          <a:p>
            <a:pPr algn="ctr"/>
            <a:endParaRPr lang="en-SG"/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741B2132-76AA-4BE0-9DDF-EE4EB11A3944}"/>
              </a:ext>
            </a:extLst>
          </xdr:cNvPr>
          <xdr:cNvCxnSpPr>
            <a:cxnSpLocks/>
            <a:stCxn id="210" idx="3"/>
            <a:endCxn id="211" idx="1"/>
          </xdr:cNvCxnSpPr>
        </xdr:nvCxnSpPr>
        <xdr:spPr>
          <a:xfrm>
            <a:off x="5989416" y="4079301"/>
            <a:ext cx="318801" cy="0"/>
          </a:xfrm>
          <a:prstGeom prst="straightConnector1">
            <a:avLst/>
          </a:prstGeom>
          <a:noFill/>
          <a:ln w="6350" cap="flat" cmpd="sng" algn="ctr">
            <a:solidFill>
              <a:srgbClr val="4F81BD"/>
            </a:solidFill>
            <a:prstDash val="solid"/>
            <a:miter lim="800000"/>
            <a:tailEnd type="triangle"/>
          </a:ln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3" name="TextBox 239">
            <a:extLst>
              <a:ext uri="{FF2B5EF4-FFF2-40B4-BE49-F238E27FC236}">
                <a16:creationId xmlns:a16="http://schemas.microsoft.com/office/drawing/2014/main" id="{DE7C08E6-C309-4108-844F-B13F31BB9E98}"/>
              </a:ext>
            </a:extLst>
          </xdr:cNvPr>
          <xdr:cNvSpPr txBox="1"/>
        </xdr:nvSpPr>
        <xdr:spPr>
          <a:xfrm>
            <a:off x="6308217" y="5830581"/>
            <a:ext cx="1800000" cy="276999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1pPr>
            <a:lvl2pPr marL="457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2pPr>
            <a:lvl3pPr marL="914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3pPr>
            <a:lvl4pPr marL="1371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4pPr>
            <a:lvl5pPr marL="18288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5pPr>
            <a:lvl6pPr marL="22860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6pPr>
            <a:lvl7pPr marL="27432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7pPr>
            <a:lvl8pPr marL="32004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8pPr>
            <a:lvl9pPr marL="3657600" algn="l" defTabSz="914400" rtl="0" eaLnBrk="1" latinLnBrk="0" hangingPunct="1">
              <a:defRPr sz="1800" kern="1200">
                <a:solidFill>
                  <a:sysClr val="windowText" lastClr="000000"/>
                </a:solidFill>
                <a:latin typeface="Calibri" panose="020F0502020204030204"/>
              </a:defRPr>
            </a:lvl9pPr>
          </a:lstStyle>
          <a:p>
            <a:pPr algn="ctr"/>
            <a:r>
              <a:rPr lang="en-SG" sz="1200">
                <a:solidFill>
                  <a:srgbClr val="F79646">
                    <a:lumMod val="75000"/>
                  </a:srgbClr>
                </a:solidFill>
              </a:rPr>
              <a:t>Total Emission</a:t>
            </a:r>
          </a:p>
        </xdr:txBody>
      </xdr:sp>
    </xdr:grpSp>
    <xdr:clientData/>
  </xdr:twoCellAnchor>
  <xdr:twoCellAnchor>
    <xdr:from>
      <xdr:col>6</xdr:col>
      <xdr:colOff>651934</xdr:colOff>
      <xdr:row>2</xdr:row>
      <xdr:rowOff>42333</xdr:rowOff>
    </xdr:from>
    <xdr:to>
      <xdr:col>8</xdr:col>
      <xdr:colOff>671667</xdr:colOff>
      <xdr:row>3</xdr:row>
      <xdr:rowOff>99600</xdr:rowOff>
    </xdr:to>
    <xdr:sp macro="" textlink="">
      <xdr:nvSpPr>
        <xdr:cNvPr id="260" name="Rectangle 259">
          <a:extLst>
            <a:ext uri="{FF2B5EF4-FFF2-40B4-BE49-F238E27FC236}">
              <a16:creationId xmlns:a16="http://schemas.microsoft.com/office/drawing/2014/main" id="{89B39E03-0076-438D-8378-D1E676CCDF85}"/>
            </a:ext>
          </a:extLst>
        </xdr:cNvPr>
        <xdr:cNvSpPr/>
      </xdr:nvSpPr>
      <xdr:spPr>
        <a:xfrm>
          <a:off x="9482667" y="524933"/>
          <a:ext cx="1476000" cy="252000"/>
        </a:xfrm>
        <a:prstGeom prst="rect">
          <a:avLst/>
        </a:prstGeom>
        <a:solidFill>
          <a:srgbClr val="4F81BD">
            <a:lumMod val="60000"/>
            <a:lumOff val="40000"/>
          </a:srgbClr>
        </a:solidFill>
        <a:ln w="9525" cap="flat" cmpd="sng" algn="ctr">
          <a:solidFill>
            <a:srgbClr val="4F81BD">
              <a:lumMod val="60000"/>
              <a:lumOff val="40000"/>
            </a:srgbClr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ysClr val="window" lastClr="FFFFFF"/>
              </a:solidFill>
              <a:latin typeface="Calibri" panose="020F0502020204030204"/>
            </a:defRPr>
          </a:lvl1pPr>
          <a:lvl2pPr marL="457200" algn="l" defTabSz="914400" rtl="0" eaLnBrk="1" latinLnBrk="0" hangingPunct="1">
            <a:defRPr sz="1800" kern="1200">
              <a:solidFill>
                <a:sysClr val="window" lastClr="FFFFFF"/>
              </a:solidFill>
              <a:latin typeface="Calibri" panose="020F0502020204030204"/>
            </a:defRPr>
          </a:lvl2pPr>
          <a:lvl3pPr marL="914400" algn="l" defTabSz="914400" rtl="0" eaLnBrk="1" latinLnBrk="0" hangingPunct="1">
            <a:defRPr sz="1800" kern="1200">
              <a:solidFill>
                <a:sysClr val="window" lastClr="FFFFFF"/>
              </a:solidFill>
              <a:latin typeface="Calibri" panose="020F0502020204030204"/>
            </a:defRPr>
          </a:lvl3pPr>
          <a:lvl4pPr marL="1371600" algn="l" defTabSz="914400" rtl="0" eaLnBrk="1" latinLnBrk="0" hangingPunct="1">
            <a:defRPr sz="1800" kern="1200">
              <a:solidFill>
                <a:sysClr val="window" lastClr="FFFFFF"/>
              </a:solidFill>
              <a:latin typeface="Calibri" panose="020F0502020204030204"/>
            </a:defRPr>
          </a:lvl4pPr>
          <a:lvl5pPr marL="1828800" algn="l" defTabSz="914400" rtl="0" eaLnBrk="1" latinLnBrk="0" hangingPunct="1">
            <a:defRPr sz="1800" kern="1200">
              <a:solidFill>
                <a:sysClr val="window" lastClr="FFFFFF"/>
              </a:solidFill>
              <a:latin typeface="Calibri" panose="020F0502020204030204"/>
            </a:defRPr>
          </a:lvl5pPr>
          <a:lvl6pPr marL="2286000" algn="l" defTabSz="914400" rtl="0" eaLnBrk="1" latinLnBrk="0" hangingPunct="1">
            <a:defRPr sz="1800" kern="1200">
              <a:solidFill>
                <a:sysClr val="window" lastClr="FFFFFF"/>
              </a:solidFill>
              <a:latin typeface="Calibri" panose="020F0502020204030204"/>
            </a:defRPr>
          </a:lvl6pPr>
          <a:lvl7pPr marL="2743200" algn="l" defTabSz="914400" rtl="0" eaLnBrk="1" latinLnBrk="0" hangingPunct="1">
            <a:defRPr sz="1800" kern="1200">
              <a:solidFill>
                <a:sysClr val="window" lastClr="FFFFFF"/>
              </a:solidFill>
              <a:latin typeface="Calibri" panose="020F0502020204030204"/>
            </a:defRPr>
          </a:lvl7pPr>
          <a:lvl8pPr marL="3200400" algn="l" defTabSz="914400" rtl="0" eaLnBrk="1" latinLnBrk="0" hangingPunct="1">
            <a:defRPr sz="1800" kern="1200">
              <a:solidFill>
                <a:sysClr val="window" lastClr="FFFFFF"/>
              </a:solidFill>
              <a:latin typeface="Calibri" panose="020F0502020204030204"/>
            </a:defRPr>
          </a:lvl8pPr>
          <a:lvl9pPr marL="3657600" algn="l" defTabSz="914400" rtl="0" eaLnBrk="1" latinLnBrk="0" hangingPunct="1">
            <a:defRPr sz="1800" kern="1200">
              <a:solidFill>
                <a:sysClr val="window" lastClr="FFFFFF"/>
              </a:solidFill>
              <a:latin typeface="Calibri" panose="020F0502020204030204"/>
            </a:defRPr>
          </a:lvl9pPr>
        </a:lstStyle>
        <a:p>
          <a:pPr algn="ctr"/>
          <a:r>
            <a:rPr lang="en-SG" sz="1200">
              <a:solidFill>
                <a:sysClr val="windowText" lastClr="000000"/>
              </a:solidFill>
            </a:rPr>
            <a:t>Tab Name</a:t>
          </a:r>
        </a:p>
      </xdr:txBody>
    </xdr:sp>
    <xdr:clientData/>
  </xdr:twoCellAnchor>
  <xdr:twoCellAnchor>
    <xdr:from>
      <xdr:col>6</xdr:col>
      <xdr:colOff>651934</xdr:colOff>
      <xdr:row>3</xdr:row>
      <xdr:rowOff>112462</xdr:rowOff>
    </xdr:from>
    <xdr:to>
      <xdr:col>8</xdr:col>
      <xdr:colOff>671667</xdr:colOff>
      <xdr:row>4</xdr:row>
      <xdr:rowOff>169728</xdr:rowOff>
    </xdr:to>
    <xdr:sp macro="" textlink="">
      <xdr:nvSpPr>
        <xdr:cNvPr id="261" name="TextBox 242">
          <a:extLst>
            <a:ext uri="{FF2B5EF4-FFF2-40B4-BE49-F238E27FC236}">
              <a16:creationId xmlns:a16="http://schemas.microsoft.com/office/drawing/2014/main" id="{D9E1AD6C-FB64-4DF8-AF11-5C77902703DD}"/>
            </a:ext>
          </a:extLst>
        </xdr:cNvPr>
        <xdr:cNvSpPr txBox="1"/>
      </xdr:nvSpPr>
      <xdr:spPr>
        <a:xfrm>
          <a:off x="9482667" y="789795"/>
          <a:ext cx="1476000" cy="252000"/>
        </a:xfrm>
        <a:prstGeom prst="rect">
          <a:avLst/>
        </a:prstGeom>
        <a:solidFill>
          <a:srgbClr val="9BBB59">
            <a:lumMod val="40000"/>
            <a:lumOff val="60000"/>
          </a:srgbClr>
        </a:solidFill>
        <a:ln>
          <a:solidFill>
            <a:srgbClr val="9BBB59"/>
          </a:solidFill>
        </a:ln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ysClr val="windowText" lastClr="000000"/>
              </a:solidFill>
              <a:latin typeface="Calibri" panose="020F0502020204030204"/>
            </a:defRPr>
          </a:lvl1pPr>
          <a:lvl2pPr marL="457200" algn="l" defTabSz="914400" rtl="0" eaLnBrk="1" latinLnBrk="0" hangingPunct="1">
            <a:defRPr sz="1800" kern="1200">
              <a:solidFill>
                <a:sysClr val="windowText" lastClr="000000"/>
              </a:solidFill>
              <a:latin typeface="Calibri" panose="020F0502020204030204"/>
            </a:defRPr>
          </a:lvl2pPr>
          <a:lvl3pPr marL="914400" algn="l" defTabSz="914400" rtl="0" eaLnBrk="1" latinLnBrk="0" hangingPunct="1">
            <a:defRPr sz="1800" kern="1200">
              <a:solidFill>
                <a:sysClr val="windowText" lastClr="000000"/>
              </a:solidFill>
              <a:latin typeface="Calibri" panose="020F0502020204030204"/>
            </a:defRPr>
          </a:lvl3pPr>
          <a:lvl4pPr marL="1371600" algn="l" defTabSz="914400" rtl="0" eaLnBrk="1" latinLnBrk="0" hangingPunct="1">
            <a:defRPr sz="1800" kern="1200">
              <a:solidFill>
                <a:sysClr val="windowText" lastClr="000000"/>
              </a:solidFill>
              <a:latin typeface="Calibri" panose="020F0502020204030204"/>
            </a:defRPr>
          </a:lvl4pPr>
          <a:lvl5pPr marL="1828800" algn="l" defTabSz="914400" rtl="0" eaLnBrk="1" latinLnBrk="0" hangingPunct="1">
            <a:defRPr sz="1800" kern="1200">
              <a:solidFill>
                <a:sysClr val="windowText" lastClr="000000"/>
              </a:solidFill>
              <a:latin typeface="Calibri" panose="020F0502020204030204"/>
            </a:defRPr>
          </a:lvl5pPr>
          <a:lvl6pPr marL="2286000" algn="l" defTabSz="914400" rtl="0" eaLnBrk="1" latinLnBrk="0" hangingPunct="1">
            <a:defRPr sz="1800" kern="1200">
              <a:solidFill>
                <a:sysClr val="windowText" lastClr="000000"/>
              </a:solidFill>
              <a:latin typeface="Calibri" panose="020F0502020204030204"/>
            </a:defRPr>
          </a:lvl6pPr>
          <a:lvl7pPr marL="2743200" algn="l" defTabSz="914400" rtl="0" eaLnBrk="1" latinLnBrk="0" hangingPunct="1">
            <a:defRPr sz="1800" kern="1200">
              <a:solidFill>
                <a:sysClr val="windowText" lastClr="000000"/>
              </a:solidFill>
              <a:latin typeface="Calibri" panose="020F0502020204030204"/>
            </a:defRPr>
          </a:lvl7pPr>
          <a:lvl8pPr marL="3200400" algn="l" defTabSz="914400" rtl="0" eaLnBrk="1" latinLnBrk="0" hangingPunct="1">
            <a:defRPr sz="1800" kern="1200">
              <a:solidFill>
                <a:sysClr val="windowText" lastClr="000000"/>
              </a:solidFill>
              <a:latin typeface="Calibri" panose="020F0502020204030204"/>
            </a:defRPr>
          </a:lvl8pPr>
          <a:lvl9pPr marL="3657600" algn="l" defTabSz="914400" rtl="0" eaLnBrk="1" latinLnBrk="0" hangingPunct="1">
            <a:defRPr sz="1800" kern="1200">
              <a:solidFill>
                <a:sysClr val="windowText" lastClr="000000"/>
              </a:solidFill>
              <a:latin typeface="Calibri" panose="020F0502020204030204"/>
            </a:defRPr>
          </a:lvl9pPr>
        </a:lstStyle>
        <a:p>
          <a:pPr algn="ctr"/>
          <a:r>
            <a:rPr lang="en-SG" sz="1200"/>
            <a:t>Input</a:t>
          </a:r>
        </a:p>
      </xdr:txBody>
    </xdr:sp>
    <xdr:clientData/>
  </xdr:twoCellAnchor>
  <xdr:twoCellAnchor>
    <xdr:from>
      <xdr:col>6</xdr:col>
      <xdr:colOff>651934</xdr:colOff>
      <xdr:row>4</xdr:row>
      <xdr:rowOff>182590</xdr:rowOff>
    </xdr:from>
    <xdr:to>
      <xdr:col>8</xdr:col>
      <xdr:colOff>671667</xdr:colOff>
      <xdr:row>6</xdr:row>
      <xdr:rowOff>45124</xdr:rowOff>
    </xdr:to>
    <xdr:sp macro="" textlink="">
      <xdr:nvSpPr>
        <xdr:cNvPr id="262" name="TextBox 243">
          <a:extLst>
            <a:ext uri="{FF2B5EF4-FFF2-40B4-BE49-F238E27FC236}">
              <a16:creationId xmlns:a16="http://schemas.microsoft.com/office/drawing/2014/main" id="{EE757DC4-CDBB-4916-B5AB-9D35B428DED0}"/>
            </a:ext>
          </a:extLst>
        </xdr:cNvPr>
        <xdr:cNvSpPr txBox="1"/>
      </xdr:nvSpPr>
      <xdr:spPr>
        <a:xfrm>
          <a:off x="9482667" y="1054657"/>
          <a:ext cx="1476000" cy="252000"/>
        </a:xfrm>
        <a:prstGeom prst="rect">
          <a:avLst/>
        </a:prstGeom>
        <a:solidFill>
          <a:srgbClr val="F79646">
            <a:lumMod val="40000"/>
            <a:lumOff val="60000"/>
          </a:srgbClr>
        </a:solidFill>
        <a:ln>
          <a:solidFill>
            <a:srgbClr val="F79646"/>
          </a:solidFill>
        </a:ln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ysClr val="windowText" lastClr="000000"/>
              </a:solidFill>
              <a:latin typeface="Calibri" panose="020F0502020204030204"/>
            </a:defRPr>
          </a:lvl1pPr>
          <a:lvl2pPr marL="457200" algn="l" defTabSz="914400" rtl="0" eaLnBrk="1" latinLnBrk="0" hangingPunct="1">
            <a:defRPr sz="1800" kern="1200">
              <a:solidFill>
                <a:sysClr val="windowText" lastClr="000000"/>
              </a:solidFill>
              <a:latin typeface="Calibri" panose="020F0502020204030204"/>
            </a:defRPr>
          </a:lvl2pPr>
          <a:lvl3pPr marL="914400" algn="l" defTabSz="914400" rtl="0" eaLnBrk="1" latinLnBrk="0" hangingPunct="1">
            <a:defRPr sz="1800" kern="1200">
              <a:solidFill>
                <a:sysClr val="windowText" lastClr="000000"/>
              </a:solidFill>
              <a:latin typeface="Calibri" panose="020F0502020204030204"/>
            </a:defRPr>
          </a:lvl3pPr>
          <a:lvl4pPr marL="1371600" algn="l" defTabSz="914400" rtl="0" eaLnBrk="1" latinLnBrk="0" hangingPunct="1">
            <a:defRPr sz="1800" kern="1200">
              <a:solidFill>
                <a:sysClr val="windowText" lastClr="000000"/>
              </a:solidFill>
              <a:latin typeface="Calibri" panose="020F0502020204030204"/>
            </a:defRPr>
          </a:lvl4pPr>
          <a:lvl5pPr marL="1828800" algn="l" defTabSz="914400" rtl="0" eaLnBrk="1" latinLnBrk="0" hangingPunct="1">
            <a:defRPr sz="1800" kern="1200">
              <a:solidFill>
                <a:sysClr val="windowText" lastClr="000000"/>
              </a:solidFill>
              <a:latin typeface="Calibri" panose="020F0502020204030204"/>
            </a:defRPr>
          </a:lvl5pPr>
          <a:lvl6pPr marL="2286000" algn="l" defTabSz="914400" rtl="0" eaLnBrk="1" latinLnBrk="0" hangingPunct="1">
            <a:defRPr sz="1800" kern="1200">
              <a:solidFill>
                <a:sysClr val="windowText" lastClr="000000"/>
              </a:solidFill>
              <a:latin typeface="Calibri" panose="020F0502020204030204"/>
            </a:defRPr>
          </a:lvl6pPr>
          <a:lvl7pPr marL="2743200" algn="l" defTabSz="914400" rtl="0" eaLnBrk="1" latinLnBrk="0" hangingPunct="1">
            <a:defRPr sz="1800" kern="1200">
              <a:solidFill>
                <a:sysClr val="windowText" lastClr="000000"/>
              </a:solidFill>
              <a:latin typeface="Calibri" panose="020F0502020204030204"/>
            </a:defRPr>
          </a:lvl7pPr>
          <a:lvl8pPr marL="3200400" algn="l" defTabSz="914400" rtl="0" eaLnBrk="1" latinLnBrk="0" hangingPunct="1">
            <a:defRPr sz="1800" kern="1200">
              <a:solidFill>
                <a:sysClr val="windowText" lastClr="000000"/>
              </a:solidFill>
              <a:latin typeface="Calibri" panose="020F0502020204030204"/>
            </a:defRPr>
          </a:lvl8pPr>
          <a:lvl9pPr marL="3657600" algn="l" defTabSz="914400" rtl="0" eaLnBrk="1" latinLnBrk="0" hangingPunct="1">
            <a:defRPr sz="1800" kern="1200">
              <a:solidFill>
                <a:sysClr val="windowText" lastClr="000000"/>
              </a:solidFill>
              <a:latin typeface="Calibri" panose="020F0502020204030204"/>
            </a:defRPr>
          </a:lvl9pPr>
        </a:lstStyle>
        <a:p>
          <a:pPr algn="ctr"/>
          <a:r>
            <a:rPr lang="en-SG" sz="1200"/>
            <a:t>Intermediate Output</a:t>
          </a:r>
        </a:p>
      </xdr:txBody>
    </xdr:sp>
    <xdr:clientData/>
  </xdr:twoCellAnchor>
  <xdr:twoCellAnchor>
    <xdr:from>
      <xdr:col>6</xdr:col>
      <xdr:colOff>651934</xdr:colOff>
      <xdr:row>6</xdr:row>
      <xdr:rowOff>57986</xdr:rowOff>
    </xdr:from>
    <xdr:to>
      <xdr:col>8</xdr:col>
      <xdr:colOff>671667</xdr:colOff>
      <xdr:row>7</xdr:row>
      <xdr:rowOff>115252</xdr:rowOff>
    </xdr:to>
    <xdr:sp macro="" textlink="">
      <xdr:nvSpPr>
        <xdr:cNvPr id="263" name="TextBox 244">
          <a:extLst>
            <a:ext uri="{FF2B5EF4-FFF2-40B4-BE49-F238E27FC236}">
              <a16:creationId xmlns:a16="http://schemas.microsoft.com/office/drawing/2014/main" id="{93F13A2E-E33D-42C6-A7BF-A4F84BDA5764}"/>
            </a:ext>
          </a:extLst>
        </xdr:cNvPr>
        <xdr:cNvSpPr txBox="1"/>
      </xdr:nvSpPr>
      <xdr:spPr>
        <a:xfrm>
          <a:off x="9482667" y="1319519"/>
          <a:ext cx="1476000" cy="252000"/>
        </a:xfrm>
        <a:prstGeom prst="rect">
          <a:avLst/>
        </a:prstGeom>
        <a:solidFill>
          <a:srgbClr val="FFFFCC"/>
        </a:solidFill>
        <a:ln>
          <a:solidFill>
            <a:srgbClr val="FFCC00"/>
          </a:solidFill>
        </a:ln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ysClr val="windowText" lastClr="000000"/>
              </a:solidFill>
              <a:latin typeface="Calibri" panose="020F0502020204030204"/>
            </a:defRPr>
          </a:lvl1pPr>
          <a:lvl2pPr marL="457200" algn="l" defTabSz="914400" rtl="0" eaLnBrk="1" latinLnBrk="0" hangingPunct="1">
            <a:defRPr sz="1800" kern="1200">
              <a:solidFill>
                <a:sysClr val="windowText" lastClr="000000"/>
              </a:solidFill>
              <a:latin typeface="Calibri" panose="020F0502020204030204"/>
            </a:defRPr>
          </a:lvl2pPr>
          <a:lvl3pPr marL="914400" algn="l" defTabSz="914400" rtl="0" eaLnBrk="1" latinLnBrk="0" hangingPunct="1">
            <a:defRPr sz="1800" kern="1200">
              <a:solidFill>
                <a:sysClr val="windowText" lastClr="000000"/>
              </a:solidFill>
              <a:latin typeface="Calibri" panose="020F0502020204030204"/>
            </a:defRPr>
          </a:lvl3pPr>
          <a:lvl4pPr marL="1371600" algn="l" defTabSz="914400" rtl="0" eaLnBrk="1" latinLnBrk="0" hangingPunct="1">
            <a:defRPr sz="1800" kern="1200">
              <a:solidFill>
                <a:sysClr val="windowText" lastClr="000000"/>
              </a:solidFill>
              <a:latin typeface="Calibri" panose="020F0502020204030204"/>
            </a:defRPr>
          </a:lvl4pPr>
          <a:lvl5pPr marL="1828800" algn="l" defTabSz="914400" rtl="0" eaLnBrk="1" latinLnBrk="0" hangingPunct="1">
            <a:defRPr sz="1800" kern="1200">
              <a:solidFill>
                <a:sysClr val="windowText" lastClr="000000"/>
              </a:solidFill>
              <a:latin typeface="Calibri" panose="020F0502020204030204"/>
            </a:defRPr>
          </a:lvl5pPr>
          <a:lvl6pPr marL="2286000" algn="l" defTabSz="914400" rtl="0" eaLnBrk="1" latinLnBrk="0" hangingPunct="1">
            <a:defRPr sz="1800" kern="1200">
              <a:solidFill>
                <a:sysClr val="windowText" lastClr="000000"/>
              </a:solidFill>
              <a:latin typeface="Calibri" panose="020F0502020204030204"/>
            </a:defRPr>
          </a:lvl6pPr>
          <a:lvl7pPr marL="2743200" algn="l" defTabSz="914400" rtl="0" eaLnBrk="1" latinLnBrk="0" hangingPunct="1">
            <a:defRPr sz="1800" kern="1200">
              <a:solidFill>
                <a:sysClr val="windowText" lastClr="000000"/>
              </a:solidFill>
              <a:latin typeface="Calibri" panose="020F0502020204030204"/>
            </a:defRPr>
          </a:lvl7pPr>
          <a:lvl8pPr marL="3200400" algn="l" defTabSz="914400" rtl="0" eaLnBrk="1" latinLnBrk="0" hangingPunct="1">
            <a:defRPr sz="1800" kern="1200">
              <a:solidFill>
                <a:sysClr val="windowText" lastClr="000000"/>
              </a:solidFill>
              <a:latin typeface="Calibri" panose="020F0502020204030204"/>
            </a:defRPr>
          </a:lvl8pPr>
          <a:lvl9pPr marL="3657600" algn="l" defTabSz="914400" rtl="0" eaLnBrk="1" latinLnBrk="0" hangingPunct="1">
            <a:defRPr sz="1800" kern="1200">
              <a:solidFill>
                <a:sysClr val="windowText" lastClr="000000"/>
              </a:solidFill>
              <a:latin typeface="Calibri" panose="020F0502020204030204"/>
            </a:defRPr>
          </a:lvl9pPr>
        </a:lstStyle>
        <a:p>
          <a:pPr algn="ctr"/>
          <a:r>
            <a:rPr lang="en-SG" sz="1200"/>
            <a:t>Final Output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5443</xdr:colOff>
      <xdr:row>92</xdr:row>
      <xdr:rowOff>0</xdr:rowOff>
    </xdr:from>
    <xdr:to>
      <xdr:col>5</xdr:col>
      <xdr:colOff>849086</xdr:colOff>
      <xdr:row>108</xdr:row>
      <xdr:rowOff>76190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109</xdr:row>
      <xdr:rowOff>43535</xdr:rowOff>
    </xdr:from>
    <xdr:to>
      <xdr:col>5</xdr:col>
      <xdr:colOff>843643</xdr:colOff>
      <xdr:row>125</xdr:row>
      <xdr:rowOff>119726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56</xdr:row>
      <xdr:rowOff>0</xdr:rowOff>
    </xdr:from>
    <xdr:to>
      <xdr:col>24</xdr:col>
      <xdr:colOff>598629</xdr:colOff>
      <xdr:row>73</xdr:row>
      <xdr:rowOff>136800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74</xdr:row>
      <xdr:rowOff>0</xdr:rowOff>
    </xdr:from>
    <xdr:to>
      <xdr:col>24</xdr:col>
      <xdr:colOff>598629</xdr:colOff>
      <xdr:row>91</xdr:row>
      <xdr:rowOff>136800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72934</xdr:colOff>
      <xdr:row>27</xdr:row>
      <xdr:rowOff>129541</xdr:rowOff>
    </xdr:from>
    <xdr:to>
      <xdr:col>22</xdr:col>
      <xdr:colOff>511630</xdr:colOff>
      <xdr:row>40</xdr:row>
      <xdr:rowOff>87085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5442</xdr:colOff>
      <xdr:row>57</xdr:row>
      <xdr:rowOff>81643</xdr:rowOff>
    </xdr:from>
    <xdr:to>
      <xdr:col>10</xdr:col>
      <xdr:colOff>1228725</xdr:colOff>
      <xdr:row>74</xdr:row>
      <xdr:rowOff>168729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  <a:ext uri="{147F2762-F138-4A5C-976F-8EAC2B608ADB}">
              <a16:predDERef xmlns:a16="http://schemas.microsoft.com/office/drawing/2014/main" pre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42183</xdr:colOff>
      <xdr:row>57</xdr:row>
      <xdr:rowOff>152400</xdr:rowOff>
    </xdr:from>
    <xdr:to>
      <xdr:col>9</xdr:col>
      <xdr:colOff>794658</xdr:colOff>
      <xdr:row>71</xdr:row>
      <xdr:rowOff>34562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83126</xdr:colOff>
      <xdr:row>56</xdr:row>
      <xdr:rowOff>157349</xdr:rowOff>
    </xdr:from>
    <xdr:to>
      <xdr:col>23</xdr:col>
      <xdr:colOff>888669</xdr:colOff>
      <xdr:row>70</xdr:row>
      <xdr:rowOff>157348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90054</xdr:colOff>
      <xdr:row>56</xdr:row>
      <xdr:rowOff>173182</xdr:rowOff>
    </xdr:from>
    <xdr:to>
      <xdr:col>17</xdr:col>
      <xdr:colOff>159327</xdr:colOff>
      <xdr:row>71</xdr:row>
      <xdr:rowOff>6927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21772</xdr:colOff>
      <xdr:row>74</xdr:row>
      <xdr:rowOff>43543</xdr:rowOff>
    </xdr:from>
    <xdr:to>
      <xdr:col>11</xdr:col>
      <xdr:colOff>1</xdr:colOff>
      <xdr:row>89</xdr:row>
      <xdr:rowOff>76199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115389</xdr:colOff>
      <xdr:row>29</xdr:row>
      <xdr:rowOff>152406</xdr:rowOff>
    </xdr:from>
    <xdr:to>
      <xdr:col>25</xdr:col>
      <xdr:colOff>844731</xdr:colOff>
      <xdr:row>39</xdr:row>
      <xdr:rowOff>153494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74</xdr:row>
      <xdr:rowOff>0</xdr:rowOff>
    </xdr:from>
    <xdr:to>
      <xdr:col>17</xdr:col>
      <xdr:colOff>696687</xdr:colOff>
      <xdr:row>89</xdr:row>
      <xdr:rowOff>32656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119744</xdr:colOff>
      <xdr:row>7</xdr:row>
      <xdr:rowOff>174171</xdr:rowOff>
    </xdr:from>
    <xdr:to>
      <xdr:col>17</xdr:col>
      <xdr:colOff>54344</xdr:colOff>
      <xdr:row>22</xdr:row>
      <xdr:rowOff>115028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329565</xdr:colOff>
          <xdr:row>0</xdr:row>
          <xdr:rowOff>129540</xdr:rowOff>
        </xdr:from>
        <xdr:to>
          <xdr:col>7</xdr:col>
          <xdr:colOff>481965</xdr:colOff>
          <xdr:row>2</xdr:row>
          <xdr:rowOff>129540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SG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Sensitivity Analsysis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125186</xdr:colOff>
      <xdr:row>58</xdr:row>
      <xdr:rowOff>30851</xdr:rowOff>
    </xdr:from>
    <xdr:to>
      <xdr:col>18</xdr:col>
      <xdr:colOff>76201</xdr:colOff>
      <xdr:row>74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181371</xdr:colOff>
      <xdr:row>7</xdr:row>
      <xdr:rowOff>30751</xdr:rowOff>
    </xdr:from>
    <xdr:to>
      <xdr:col>16</xdr:col>
      <xdr:colOff>495300</xdr:colOff>
      <xdr:row>25</xdr:row>
      <xdr:rowOff>60325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222250</xdr:colOff>
      <xdr:row>26</xdr:row>
      <xdr:rowOff>19050</xdr:rowOff>
    </xdr:from>
    <xdr:to>
      <xdr:col>16</xdr:col>
      <xdr:colOff>514350</xdr:colOff>
      <xdr:row>45</xdr:row>
      <xdr:rowOff>180975</xdr:rowOff>
    </xdr:to>
    <xdr:graphicFrame macro="">
      <xdr:nvGraphicFramePr>
        <xdr:cNvPr id="41" name="Chart 2">
          <a:extLst>
            <a:ext uri="{FF2B5EF4-FFF2-40B4-BE49-F238E27FC236}">
              <a16:creationId xmlns:a16="http://schemas.microsoft.com/office/drawing/2014/main" id="{00000000-0008-0000-0600-000029000000}"/>
            </a:ext>
            <a:ext uri="{147F2762-F138-4A5C-976F-8EAC2B608ADB}">
              <a16:predDERef xmlns:a16="http://schemas.microsoft.com/office/drawing/2014/main" pred="{53742287-7400-488B-973F-9485D1FC43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613F3-F6AC-4422-BCA6-B9ECEBFCB1C8}">
  <sheetPr codeName="Sheet7"/>
  <dimension ref="I1:I39"/>
  <sheetViews>
    <sheetView showGridLines="0" zoomScale="90" zoomScaleNormal="90" workbookViewId="0">
      <selection activeCell="I3" sqref="I3"/>
    </sheetView>
  </sheetViews>
  <sheetFormatPr defaultColWidth="0" defaultRowHeight="15" zeroHeight="1" x14ac:dyDescent="0.25"/>
  <cols>
    <col min="1" max="10" width="8.7265625" customWidth="1"/>
    <col min="11" max="16384" width="8.7265625" hidden="1"/>
  </cols>
  <sheetData>
    <row r="1" customForma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hidden="1" x14ac:dyDescent="0.25"/>
    <row r="37" customFormat="1" hidden="1" x14ac:dyDescent="0.25"/>
    <row r="38" customFormat="1" hidden="1" x14ac:dyDescent="0.25"/>
    <row r="39" customFormat="1" hidden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4014F-F492-49C6-8329-714568FEF0A7}">
  <sheetPr codeName="Sheet8"/>
  <dimension ref="B1"/>
  <sheetViews>
    <sheetView showGridLines="0" zoomScale="90" zoomScaleNormal="90" workbookViewId="0">
      <selection activeCell="I18" sqref="I18"/>
    </sheetView>
  </sheetViews>
  <sheetFormatPr defaultRowHeight="15" x14ac:dyDescent="0.25"/>
  <cols>
    <col min="1" max="1" width="4.08984375" customWidth="1"/>
    <col min="2" max="2" width="17.26953125" customWidth="1"/>
    <col min="3" max="3" width="20.453125" customWidth="1"/>
    <col min="4" max="5" width="27.36328125" bestFit="1" customWidth="1"/>
  </cols>
  <sheetData>
    <row r="1" spans="2:2" ht="22.8" x14ac:dyDescent="0.4">
      <c r="B1" s="6" t="s">
        <v>193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2EC3B-EEA0-402A-876A-70E48A795966}">
  <sheetPr codeName="Sheet1">
    <tabColor rgb="FF92D050"/>
  </sheetPr>
  <dimension ref="B1:AD91"/>
  <sheetViews>
    <sheetView showGridLines="0" zoomScale="70" zoomScaleNormal="70" workbookViewId="0">
      <pane xSplit="1" ySplit="7" topLeftCell="B8" activePane="bottomRight" state="frozen"/>
      <selection pane="topRight" activeCell="B1" sqref="B1"/>
      <selection pane="bottomLeft" activeCell="A5" sqref="A5"/>
      <selection pane="bottomRight" activeCell="N4" sqref="N4:Q4"/>
    </sheetView>
  </sheetViews>
  <sheetFormatPr defaultColWidth="8.7265625" defaultRowHeight="15" x14ac:dyDescent="0.25"/>
  <cols>
    <col min="1" max="1" width="3.7265625" style="1" customWidth="1"/>
    <col min="2" max="2" width="8.7265625" style="1"/>
    <col min="3" max="4" width="11.453125" style="1" bestFit="1" customWidth="1"/>
    <col min="5" max="6" width="10.54296875" style="1" bestFit="1" customWidth="1"/>
    <col min="7" max="7" width="11.453125" style="1" bestFit="1" customWidth="1"/>
    <col min="8" max="8" width="8.453125" style="1" customWidth="1"/>
    <col min="9" max="9" width="10.6328125" style="1" customWidth="1"/>
    <col min="10" max="11" width="8.453125" style="1" customWidth="1"/>
    <col min="12" max="12" width="2.7265625" style="1" customWidth="1"/>
    <col min="13" max="13" width="9.453125" style="1" customWidth="1"/>
    <col min="14" max="17" width="14.7265625" style="1" customWidth="1"/>
    <col min="18" max="18" width="12.7265625" style="1" customWidth="1"/>
    <col min="31" max="16384" width="8.7265625" style="1"/>
  </cols>
  <sheetData>
    <row r="1" spans="2:18" ht="22.8" x14ac:dyDescent="0.4">
      <c r="B1" s="6" t="s">
        <v>0</v>
      </c>
    </row>
    <row r="2" spans="2:18" ht="15.6" x14ac:dyDescent="0.3">
      <c r="B2" s="48" t="s">
        <v>194</v>
      </c>
      <c r="C2" s="48"/>
      <c r="D2" s="49"/>
      <c r="E2" s="49"/>
      <c r="F2" s="49"/>
      <c r="G2" s="49"/>
      <c r="H2" s="49"/>
      <c r="I2" s="49"/>
      <c r="J2" s="49"/>
      <c r="K2" s="49"/>
      <c r="M2" s="48" t="s">
        <v>2</v>
      </c>
      <c r="N2" s="48"/>
      <c r="O2" s="48"/>
      <c r="P2" s="49"/>
      <c r="Q2" s="49"/>
      <c r="R2" s="49"/>
    </row>
    <row r="3" spans="2:18" ht="15.6" x14ac:dyDescent="0.3">
      <c r="C3" s="13"/>
      <c r="D3" s="13"/>
      <c r="G3" s="28"/>
      <c r="N3" s="1" t="s">
        <v>3</v>
      </c>
      <c r="O3" s="1" t="s">
        <v>4</v>
      </c>
      <c r="P3" s="1" t="s">
        <v>5</v>
      </c>
      <c r="Q3" s="1" t="s">
        <v>6</v>
      </c>
    </row>
    <row r="4" spans="2:18" ht="15.6" x14ac:dyDescent="0.3">
      <c r="C4" s="13"/>
      <c r="D4" s="13"/>
      <c r="G4" s="28"/>
      <c r="M4" s="2" t="s">
        <v>7</v>
      </c>
      <c r="N4" s="74" t="s">
        <v>8</v>
      </c>
      <c r="O4" s="3" t="s">
        <v>8</v>
      </c>
      <c r="P4" s="76" t="s">
        <v>8</v>
      </c>
      <c r="Q4" s="101">
        <v>0.01</v>
      </c>
    </row>
    <row r="5" spans="2:18" x14ac:dyDescent="0.25">
      <c r="B5" s="104" t="s">
        <v>9</v>
      </c>
      <c r="C5" s="105" t="s">
        <v>10</v>
      </c>
      <c r="D5" s="105" t="s">
        <v>11</v>
      </c>
      <c r="E5" s="105" t="s">
        <v>12</v>
      </c>
      <c r="N5" s="81" t="s">
        <v>8</v>
      </c>
      <c r="O5" s="81" t="s">
        <v>8</v>
      </c>
      <c r="P5" s="81" t="s">
        <v>8</v>
      </c>
      <c r="Q5" s="102">
        <v>0.01</v>
      </c>
    </row>
    <row r="6" spans="2:18" x14ac:dyDescent="0.25">
      <c r="B6" s="31"/>
      <c r="C6" s="31" t="s">
        <v>13</v>
      </c>
      <c r="D6" s="31" t="s">
        <v>13</v>
      </c>
      <c r="E6" s="31" t="s">
        <v>13</v>
      </c>
      <c r="F6" s="31" t="s">
        <v>13</v>
      </c>
      <c r="G6" s="31" t="s">
        <v>13</v>
      </c>
      <c r="H6" s="31" t="s">
        <v>14</v>
      </c>
      <c r="I6" s="31" t="s">
        <v>14</v>
      </c>
      <c r="J6" s="31" t="s">
        <v>14</v>
      </c>
      <c r="K6" s="31" t="s">
        <v>14</v>
      </c>
      <c r="N6" s="31" t="s">
        <v>13</v>
      </c>
      <c r="O6" s="31" t="s">
        <v>13</v>
      </c>
      <c r="P6" s="31" t="s">
        <v>13</v>
      </c>
      <c r="Q6" s="31" t="s">
        <v>13</v>
      </c>
      <c r="R6" s="31" t="s">
        <v>13</v>
      </c>
    </row>
    <row r="7" spans="2:18" ht="30.45" customHeight="1" x14ac:dyDescent="0.25">
      <c r="B7" s="9" t="s">
        <v>15</v>
      </c>
      <c r="C7" s="77" t="s">
        <v>16</v>
      </c>
      <c r="D7" s="77" t="s">
        <v>17</v>
      </c>
      <c r="E7" s="77" t="s">
        <v>18</v>
      </c>
      <c r="F7" s="77" t="s">
        <v>19</v>
      </c>
      <c r="G7" s="77" t="s">
        <v>20</v>
      </c>
      <c r="H7" s="85" t="s">
        <v>21</v>
      </c>
      <c r="I7" s="85" t="s">
        <v>22</v>
      </c>
      <c r="J7" s="85" t="s">
        <v>23</v>
      </c>
      <c r="K7" s="85" t="s">
        <v>24</v>
      </c>
      <c r="M7" s="9" t="s">
        <v>15</v>
      </c>
      <c r="N7" s="77" t="s">
        <v>25</v>
      </c>
      <c r="O7" s="77" t="s">
        <v>26</v>
      </c>
      <c r="P7" s="77" t="s">
        <v>27</v>
      </c>
      <c r="Q7" s="77" t="s">
        <v>28</v>
      </c>
      <c r="R7" s="77" t="s">
        <v>29</v>
      </c>
    </row>
    <row r="8" spans="2:18" x14ac:dyDescent="0.25">
      <c r="B8" s="3">
        <v>1970</v>
      </c>
      <c r="C8" s="7">
        <v>2233519</v>
      </c>
      <c r="D8" s="7">
        <v>2521754</v>
      </c>
      <c r="E8" s="7">
        <v>1527564</v>
      </c>
      <c r="F8" s="7">
        <v>326510</v>
      </c>
      <c r="G8" s="14">
        <f t="shared" ref="G8:G39" si="0">SUM(C8:F8)</f>
        <v>6609347</v>
      </c>
      <c r="H8" s="10">
        <f t="shared" ref="H8:H39" si="1">C8/$G8</f>
        <v>0.33793338434190245</v>
      </c>
      <c r="I8" s="10">
        <f t="shared" ref="I8:I39" si="2">E8/$G8</f>
        <v>0.23112177345205207</v>
      </c>
      <c r="J8" s="10">
        <f t="shared" ref="J8:J39" si="3">D8/$G8</f>
        <v>0.38154359273313992</v>
      </c>
      <c r="K8" s="75">
        <f t="shared" ref="K8:K39" si="4">F8/$G8</f>
        <v>4.940124947290557E-2</v>
      </c>
      <c r="M8" s="3">
        <f>B8</f>
        <v>1970</v>
      </c>
      <c r="N8" s="3"/>
      <c r="O8" s="3"/>
      <c r="P8" s="3"/>
      <c r="Q8" s="3"/>
      <c r="R8" s="3"/>
    </row>
    <row r="9" spans="2:18" x14ac:dyDescent="0.25">
      <c r="B9" s="3">
        <v>1971</v>
      </c>
      <c r="C9" s="7">
        <v>2233511</v>
      </c>
      <c r="D9" s="7">
        <v>2546043</v>
      </c>
      <c r="E9" s="7">
        <v>1527563</v>
      </c>
      <c r="F9" s="7">
        <v>326510</v>
      </c>
      <c r="G9" s="14">
        <f t="shared" si="0"/>
        <v>6633627</v>
      </c>
      <c r="H9" s="10">
        <f t="shared" si="1"/>
        <v>0.33669529504749063</v>
      </c>
      <c r="I9" s="10">
        <f t="shared" si="2"/>
        <v>0.23027568477998536</v>
      </c>
      <c r="J9" s="10">
        <f t="shared" si="3"/>
        <v>0.3838085861625925</v>
      </c>
      <c r="K9" s="75">
        <f t="shared" si="4"/>
        <v>4.9220434009931521E-2</v>
      </c>
      <c r="M9" s="3">
        <f t="shared" ref="M9:M40" si="5">M8+1</f>
        <v>1971</v>
      </c>
      <c r="N9" s="3"/>
      <c r="O9" s="3"/>
      <c r="P9" s="3"/>
      <c r="Q9" s="3"/>
      <c r="R9" s="3"/>
    </row>
    <row r="10" spans="2:18" x14ac:dyDescent="0.25">
      <c r="B10" s="3">
        <v>1972</v>
      </c>
      <c r="C10" s="7">
        <v>2705292</v>
      </c>
      <c r="D10" s="7">
        <v>3358757</v>
      </c>
      <c r="E10" s="7">
        <v>1612457</v>
      </c>
      <c r="F10" s="7">
        <v>251593</v>
      </c>
      <c r="G10" s="14">
        <f t="shared" si="0"/>
        <v>7928099</v>
      </c>
      <c r="H10" s="10">
        <f t="shared" si="1"/>
        <v>0.34122833228999788</v>
      </c>
      <c r="I10" s="10">
        <f t="shared" si="2"/>
        <v>0.20338507377367512</v>
      </c>
      <c r="J10" s="10">
        <f t="shared" si="3"/>
        <v>0.42365225257656342</v>
      </c>
      <c r="K10" s="75">
        <f t="shared" si="4"/>
        <v>3.1734341359763545E-2</v>
      </c>
      <c r="M10" s="3">
        <f t="shared" si="5"/>
        <v>1972</v>
      </c>
      <c r="N10" s="3"/>
      <c r="O10" s="3"/>
      <c r="P10" s="3"/>
      <c r="Q10" s="3"/>
      <c r="R10" s="3"/>
    </row>
    <row r="11" spans="2:18" x14ac:dyDescent="0.25">
      <c r="B11" s="3">
        <v>1973</v>
      </c>
      <c r="C11" s="7">
        <v>3240166</v>
      </c>
      <c r="D11" s="7">
        <v>3547397</v>
      </c>
      <c r="E11" s="7">
        <v>1787371</v>
      </c>
      <c r="F11" s="7">
        <v>258464</v>
      </c>
      <c r="G11" s="14">
        <f t="shared" si="0"/>
        <v>8833398</v>
      </c>
      <c r="H11" s="10">
        <f t="shared" si="1"/>
        <v>0.36680855996752326</v>
      </c>
      <c r="I11" s="10">
        <f t="shared" si="2"/>
        <v>0.20234240549333338</v>
      </c>
      <c r="J11" s="10">
        <f t="shared" si="3"/>
        <v>0.40158917327171267</v>
      </c>
      <c r="K11" s="75">
        <f t="shared" si="4"/>
        <v>2.9259861267430722E-2</v>
      </c>
      <c r="M11" s="3">
        <f t="shared" si="5"/>
        <v>1973</v>
      </c>
      <c r="N11" s="3"/>
      <c r="O11" s="3"/>
      <c r="P11" s="3"/>
      <c r="Q11" s="3"/>
      <c r="R11" s="3"/>
    </row>
    <row r="12" spans="2:18" x14ac:dyDescent="0.25">
      <c r="B12" s="3">
        <v>1974</v>
      </c>
      <c r="C12" s="7">
        <v>3254996</v>
      </c>
      <c r="D12" s="7">
        <v>3978959</v>
      </c>
      <c r="E12" s="7">
        <v>1738721</v>
      </c>
      <c r="F12" s="7">
        <v>251582</v>
      </c>
      <c r="G12" s="14">
        <f t="shared" si="0"/>
        <v>9224258</v>
      </c>
      <c r="H12" s="10">
        <f t="shared" si="1"/>
        <v>0.35287347773663746</v>
      </c>
      <c r="I12" s="10">
        <f t="shared" si="2"/>
        <v>0.18849440247660029</v>
      </c>
      <c r="J12" s="10">
        <f t="shared" si="3"/>
        <v>0.43135816452662101</v>
      </c>
      <c r="K12" s="75">
        <f t="shared" si="4"/>
        <v>2.7273955260141248E-2</v>
      </c>
      <c r="M12" s="3">
        <f t="shared" si="5"/>
        <v>1974</v>
      </c>
      <c r="N12" s="3"/>
      <c r="O12" s="3"/>
      <c r="P12" s="3"/>
      <c r="Q12" s="3"/>
      <c r="R12" s="3"/>
    </row>
    <row r="13" spans="2:18" x14ac:dyDescent="0.25">
      <c r="B13" s="3">
        <v>1975</v>
      </c>
      <c r="C13" s="7">
        <v>3416398</v>
      </c>
      <c r="D13" s="7">
        <v>3776159</v>
      </c>
      <c r="E13" s="7">
        <v>1860826</v>
      </c>
      <c r="F13" s="7">
        <v>219807</v>
      </c>
      <c r="G13" s="14">
        <f t="shared" si="0"/>
        <v>9273190</v>
      </c>
      <c r="H13" s="10">
        <f t="shared" si="1"/>
        <v>0.36841669371597047</v>
      </c>
      <c r="I13" s="10">
        <f t="shared" si="2"/>
        <v>0.20066730003375322</v>
      </c>
      <c r="J13" s="10">
        <f t="shared" si="3"/>
        <v>0.40721251263049718</v>
      </c>
      <c r="K13" s="75">
        <f t="shared" si="4"/>
        <v>2.3703493619779172E-2</v>
      </c>
      <c r="M13" s="3">
        <f t="shared" si="5"/>
        <v>1975</v>
      </c>
      <c r="N13" s="3"/>
      <c r="O13" s="3"/>
      <c r="P13" s="3"/>
      <c r="Q13" s="3"/>
      <c r="R13" s="3"/>
    </row>
    <row r="14" spans="2:18" x14ac:dyDescent="0.25">
      <c r="B14" s="3">
        <v>1976</v>
      </c>
      <c r="C14" s="7">
        <v>3718491</v>
      </c>
      <c r="D14" s="7">
        <v>4105890</v>
      </c>
      <c r="E14" s="7">
        <v>2042594</v>
      </c>
      <c r="F14" s="7">
        <v>215673</v>
      </c>
      <c r="G14" s="14">
        <f t="shared" si="0"/>
        <v>10082648</v>
      </c>
      <c r="H14" s="10">
        <f t="shared" si="1"/>
        <v>0.36880103322063806</v>
      </c>
      <c r="I14" s="10">
        <f t="shared" si="2"/>
        <v>0.20258507487318808</v>
      </c>
      <c r="J14" s="10">
        <f t="shared" si="3"/>
        <v>0.40722338020726301</v>
      </c>
      <c r="K14" s="75">
        <f t="shared" si="4"/>
        <v>2.1390511698910843E-2</v>
      </c>
      <c r="M14" s="3">
        <f t="shared" si="5"/>
        <v>1976</v>
      </c>
      <c r="N14" s="3"/>
      <c r="O14" s="3"/>
      <c r="P14" s="3"/>
      <c r="Q14" s="3"/>
      <c r="R14" s="3"/>
    </row>
    <row r="15" spans="2:18" x14ac:dyDescent="0.25">
      <c r="B15" s="3">
        <v>1977</v>
      </c>
      <c r="C15" s="7">
        <v>4040315</v>
      </c>
      <c r="D15" s="7">
        <v>4466733</v>
      </c>
      <c r="E15" s="7">
        <v>2446545</v>
      </c>
      <c r="F15" s="7">
        <v>226754</v>
      </c>
      <c r="G15" s="14">
        <f t="shared" si="0"/>
        <v>11180347</v>
      </c>
      <c r="H15" s="10">
        <f t="shared" si="1"/>
        <v>0.36137652972667128</v>
      </c>
      <c r="I15" s="10">
        <f t="shared" si="2"/>
        <v>0.2188254979921464</v>
      </c>
      <c r="J15" s="10">
        <f t="shared" si="3"/>
        <v>0.39951649085667912</v>
      </c>
      <c r="K15" s="75">
        <f t="shared" si="4"/>
        <v>2.0281481424503194E-2</v>
      </c>
      <c r="M15" s="3">
        <f t="shared" si="5"/>
        <v>1977</v>
      </c>
      <c r="N15" s="3"/>
      <c r="O15" s="3"/>
      <c r="P15" s="3"/>
      <c r="Q15" s="3"/>
      <c r="R15" s="3"/>
    </row>
    <row r="16" spans="2:18" x14ac:dyDescent="0.25">
      <c r="B16" s="3">
        <v>1978</v>
      </c>
      <c r="C16" s="7">
        <v>4629863</v>
      </c>
      <c r="D16" s="7">
        <v>5307170</v>
      </c>
      <c r="E16" s="7">
        <v>2593383</v>
      </c>
      <c r="F16" s="7">
        <v>271944</v>
      </c>
      <c r="G16" s="14">
        <f t="shared" si="0"/>
        <v>12802360</v>
      </c>
      <c r="H16" s="10">
        <f t="shared" si="1"/>
        <v>0.36164136924754497</v>
      </c>
      <c r="I16" s="10">
        <f t="shared" si="2"/>
        <v>0.2025706979025742</v>
      </c>
      <c r="J16" s="10">
        <f t="shared" si="3"/>
        <v>0.41454622428989657</v>
      </c>
      <c r="K16" s="75">
        <f t="shared" si="4"/>
        <v>2.1241708559984251E-2</v>
      </c>
      <c r="M16" s="3">
        <f t="shared" si="5"/>
        <v>1978</v>
      </c>
      <c r="N16" s="3"/>
      <c r="O16" s="3"/>
      <c r="P16" s="3"/>
      <c r="Q16" s="3"/>
      <c r="R16" s="3"/>
    </row>
    <row r="17" spans="2:18" x14ac:dyDescent="0.25">
      <c r="B17" s="3">
        <v>1979</v>
      </c>
      <c r="C17" s="7">
        <v>4832172</v>
      </c>
      <c r="D17" s="7">
        <v>5659673</v>
      </c>
      <c r="E17" s="7">
        <v>2957132</v>
      </c>
      <c r="F17" s="7">
        <v>312736</v>
      </c>
      <c r="G17" s="14">
        <f t="shared" si="0"/>
        <v>13761713</v>
      </c>
      <c r="H17" s="10">
        <f t="shared" si="1"/>
        <v>0.35113157787842253</v>
      </c>
      <c r="I17" s="10">
        <f t="shared" si="2"/>
        <v>0.21488109801446956</v>
      </c>
      <c r="J17" s="10">
        <f t="shared" si="3"/>
        <v>0.41126224620437879</v>
      </c>
      <c r="K17" s="75">
        <f t="shared" si="4"/>
        <v>2.2725077902729113E-2</v>
      </c>
      <c r="M17" s="3">
        <f t="shared" si="5"/>
        <v>1979</v>
      </c>
      <c r="N17" s="3"/>
      <c r="O17" s="3"/>
      <c r="P17" s="3"/>
      <c r="Q17" s="3"/>
      <c r="R17" s="3"/>
    </row>
    <row r="18" spans="2:18" x14ac:dyDescent="0.25">
      <c r="B18" s="3">
        <v>1980</v>
      </c>
      <c r="C18" s="7">
        <v>5069926</v>
      </c>
      <c r="D18" s="7">
        <v>5569624</v>
      </c>
      <c r="E18" s="7">
        <v>2857830</v>
      </c>
      <c r="F18" s="7">
        <v>313739</v>
      </c>
      <c r="G18" s="14">
        <f t="shared" si="0"/>
        <v>13811119</v>
      </c>
      <c r="H18" s="10">
        <f t="shared" si="1"/>
        <v>0.3670901684360261</v>
      </c>
      <c r="I18" s="10">
        <f t="shared" si="2"/>
        <v>0.20692240795260688</v>
      </c>
      <c r="J18" s="10">
        <f t="shared" si="3"/>
        <v>0.4032710166352198</v>
      </c>
      <c r="K18" s="75">
        <f t="shared" si="4"/>
        <v>2.2716406976147262E-2</v>
      </c>
      <c r="M18" s="3">
        <f t="shared" si="5"/>
        <v>1980</v>
      </c>
      <c r="N18" s="3"/>
      <c r="O18" s="3"/>
      <c r="P18" s="3"/>
      <c r="Q18" s="3"/>
      <c r="R18" s="3"/>
    </row>
    <row r="19" spans="2:18" x14ac:dyDescent="0.25">
      <c r="B19" s="3">
        <v>1981</v>
      </c>
      <c r="C19" s="7">
        <v>5397759</v>
      </c>
      <c r="D19" s="7">
        <v>6210641</v>
      </c>
      <c r="E19" s="7">
        <v>3047641</v>
      </c>
      <c r="F19" s="7">
        <v>296335</v>
      </c>
      <c r="G19" s="14">
        <f t="shared" si="0"/>
        <v>14952376</v>
      </c>
      <c r="H19" s="10">
        <f t="shared" si="1"/>
        <v>0.36099674058490772</v>
      </c>
      <c r="I19" s="10">
        <f t="shared" si="2"/>
        <v>0.20382319171213992</v>
      </c>
      <c r="J19" s="10">
        <f t="shared" si="3"/>
        <v>0.41536147833628584</v>
      </c>
      <c r="K19" s="75">
        <f t="shared" si="4"/>
        <v>1.9818589366666542E-2</v>
      </c>
      <c r="M19" s="3">
        <f t="shared" si="5"/>
        <v>1981</v>
      </c>
      <c r="N19" s="3"/>
      <c r="O19" s="3"/>
      <c r="P19" s="3"/>
      <c r="Q19" s="3"/>
      <c r="R19" s="3"/>
    </row>
    <row r="20" spans="2:18" x14ac:dyDescent="0.25">
      <c r="B20" s="3">
        <v>1982</v>
      </c>
      <c r="C20" s="7">
        <v>5829651</v>
      </c>
      <c r="D20" s="7">
        <v>6208753</v>
      </c>
      <c r="E20" s="7">
        <v>3270503</v>
      </c>
      <c r="F20" s="7">
        <v>298018</v>
      </c>
      <c r="G20" s="14">
        <f t="shared" si="0"/>
        <v>15606925</v>
      </c>
      <c r="H20" s="10">
        <f t="shared" si="1"/>
        <v>0.37352976323010456</v>
      </c>
      <c r="I20" s="10">
        <f t="shared" si="2"/>
        <v>0.20955460476679422</v>
      </c>
      <c r="J20" s="10">
        <f t="shared" si="3"/>
        <v>0.39782039062787833</v>
      </c>
      <c r="K20" s="75">
        <f t="shared" si="4"/>
        <v>1.9095241375222859E-2</v>
      </c>
      <c r="M20" s="3">
        <f t="shared" si="5"/>
        <v>1982</v>
      </c>
      <c r="N20" s="3"/>
      <c r="O20" s="3"/>
      <c r="P20" s="3"/>
      <c r="Q20" s="3"/>
      <c r="R20" s="3"/>
    </row>
    <row r="21" spans="2:18" x14ac:dyDescent="0.25">
      <c r="B21" s="3">
        <v>1983</v>
      </c>
      <c r="C21" s="7">
        <v>6429741</v>
      </c>
      <c r="D21" s="7">
        <v>6801481</v>
      </c>
      <c r="E21" s="7">
        <v>3403498</v>
      </c>
      <c r="F21" s="7">
        <v>299680</v>
      </c>
      <c r="G21" s="14">
        <f t="shared" si="0"/>
        <v>16934400</v>
      </c>
      <c r="H21" s="10">
        <f t="shared" si="1"/>
        <v>0.37968519699546488</v>
      </c>
      <c r="I21" s="10">
        <f t="shared" si="2"/>
        <v>0.20098131613756615</v>
      </c>
      <c r="J21" s="10">
        <f t="shared" si="3"/>
        <v>0.40163696381330311</v>
      </c>
      <c r="K21" s="75">
        <f t="shared" si="4"/>
        <v>1.7696523053665911E-2</v>
      </c>
      <c r="M21" s="3">
        <f t="shared" si="5"/>
        <v>1983</v>
      </c>
      <c r="N21" s="3"/>
      <c r="O21" s="3"/>
      <c r="P21" s="3"/>
      <c r="Q21" s="3"/>
      <c r="R21" s="3"/>
    </row>
    <row r="22" spans="2:18" x14ac:dyDescent="0.25">
      <c r="B22" s="3">
        <v>1984</v>
      </c>
      <c r="C22" s="7">
        <v>6800411</v>
      </c>
      <c r="D22" s="7">
        <v>6414045</v>
      </c>
      <c r="E22" s="7">
        <v>3644719</v>
      </c>
      <c r="F22" s="7">
        <v>303775</v>
      </c>
      <c r="G22" s="14">
        <f t="shared" si="0"/>
        <v>17162950</v>
      </c>
      <c r="H22" s="10">
        <f t="shared" si="1"/>
        <v>0.39622623150449077</v>
      </c>
      <c r="I22" s="10">
        <f t="shared" si="2"/>
        <v>0.21235970506235816</v>
      </c>
      <c r="J22" s="10">
        <f t="shared" si="3"/>
        <v>0.37371460034551168</v>
      </c>
      <c r="K22" s="75">
        <f t="shared" si="4"/>
        <v>1.7699463087639363E-2</v>
      </c>
      <c r="M22" s="3">
        <f t="shared" si="5"/>
        <v>1984</v>
      </c>
      <c r="N22" s="3"/>
      <c r="O22" s="3"/>
      <c r="P22" s="3"/>
      <c r="Q22" s="3"/>
      <c r="R22" s="3"/>
    </row>
    <row r="23" spans="2:18" x14ac:dyDescent="0.25">
      <c r="B23" s="3">
        <v>1985</v>
      </c>
      <c r="C23" s="7">
        <v>7076085</v>
      </c>
      <c r="D23" s="7">
        <v>6966219</v>
      </c>
      <c r="E23" s="7">
        <v>3407500</v>
      </c>
      <c r="F23" s="7">
        <v>1383882</v>
      </c>
      <c r="G23" s="14">
        <f t="shared" si="0"/>
        <v>18833686</v>
      </c>
      <c r="H23" s="10">
        <f t="shared" si="1"/>
        <v>0.37571429193414396</v>
      </c>
      <c r="I23" s="10">
        <f t="shared" si="2"/>
        <v>0.18092581558384269</v>
      </c>
      <c r="J23" s="10">
        <f t="shared" si="3"/>
        <v>0.36988080824964376</v>
      </c>
      <c r="K23" s="75">
        <f t="shared" si="4"/>
        <v>7.3479084232369596E-2</v>
      </c>
      <c r="M23" s="3">
        <f t="shared" si="5"/>
        <v>1985</v>
      </c>
      <c r="N23" s="3"/>
      <c r="O23" s="3"/>
      <c r="P23" s="3"/>
      <c r="Q23" s="3"/>
      <c r="R23" s="3"/>
    </row>
    <row r="24" spans="2:18" x14ac:dyDescent="0.25">
      <c r="B24" s="3">
        <v>1986</v>
      </c>
      <c r="C24" s="7">
        <v>7575080</v>
      </c>
      <c r="D24" s="7">
        <v>6831203</v>
      </c>
      <c r="E24" s="7">
        <v>3473969</v>
      </c>
      <c r="F24" s="7">
        <v>1212589</v>
      </c>
      <c r="G24" s="14">
        <f t="shared" si="0"/>
        <v>19092841</v>
      </c>
      <c r="H24" s="10">
        <f t="shared" si="1"/>
        <v>0.39674975557592501</v>
      </c>
      <c r="I24" s="10">
        <f t="shared" si="2"/>
        <v>0.18195139214745465</v>
      </c>
      <c r="J24" s="10">
        <f t="shared" si="3"/>
        <v>0.3577887125336664</v>
      </c>
      <c r="K24" s="75">
        <f t="shared" si="4"/>
        <v>6.3510139742953914E-2</v>
      </c>
      <c r="M24" s="3">
        <f t="shared" si="5"/>
        <v>1986</v>
      </c>
      <c r="N24" s="3"/>
      <c r="O24" s="3"/>
      <c r="P24" s="3"/>
      <c r="Q24" s="3"/>
      <c r="R24" s="3"/>
    </row>
    <row r="25" spans="2:18" x14ac:dyDescent="0.25">
      <c r="B25" s="3">
        <v>1987</v>
      </c>
      <c r="C25" s="7">
        <v>8178821</v>
      </c>
      <c r="D25" s="7">
        <v>6409029</v>
      </c>
      <c r="E25" s="7">
        <v>3580345</v>
      </c>
      <c r="F25" s="7">
        <v>1271942</v>
      </c>
      <c r="G25" s="14">
        <f t="shared" si="0"/>
        <v>19440137</v>
      </c>
      <c r="H25" s="10">
        <f t="shared" si="1"/>
        <v>0.42071827991747179</v>
      </c>
      <c r="I25" s="10">
        <f t="shared" si="2"/>
        <v>0.18417282758861217</v>
      </c>
      <c r="J25" s="10">
        <f t="shared" si="3"/>
        <v>0.32968023836457533</v>
      </c>
      <c r="K25" s="75">
        <f t="shared" si="4"/>
        <v>6.5428654129340749E-2</v>
      </c>
      <c r="M25" s="3">
        <f t="shared" si="5"/>
        <v>1987</v>
      </c>
      <c r="N25" s="3"/>
      <c r="O25" s="3"/>
      <c r="P25" s="3"/>
      <c r="Q25" s="3"/>
      <c r="R25" s="3"/>
    </row>
    <row r="26" spans="2:18" x14ac:dyDescent="0.25">
      <c r="B26" s="3">
        <v>1988</v>
      </c>
      <c r="C26" s="7">
        <v>9726167</v>
      </c>
      <c r="D26" s="7">
        <v>7537098</v>
      </c>
      <c r="E26" s="7">
        <v>3497325</v>
      </c>
      <c r="F26" s="7">
        <v>1285519</v>
      </c>
      <c r="G26" s="14">
        <f t="shared" si="0"/>
        <v>22046109</v>
      </c>
      <c r="H26" s="10">
        <f t="shared" si="1"/>
        <v>0.4411738597500357</v>
      </c>
      <c r="I26" s="10">
        <f t="shared" si="2"/>
        <v>0.15863683700375428</v>
      </c>
      <c r="J26" s="10">
        <f t="shared" si="3"/>
        <v>0.34187883222386317</v>
      </c>
      <c r="K26" s="75">
        <f t="shared" si="4"/>
        <v>5.8310471022346849E-2</v>
      </c>
      <c r="M26" s="3">
        <f t="shared" si="5"/>
        <v>1988</v>
      </c>
      <c r="N26" s="3"/>
      <c r="O26" s="3"/>
      <c r="P26" s="3"/>
      <c r="Q26" s="3"/>
      <c r="R26" s="3"/>
    </row>
    <row r="27" spans="2:18" x14ac:dyDescent="0.25">
      <c r="B27" s="3">
        <v>1989</v>
      </c>
      <c r="C27" s="7">
        <v>10108904</v>
      </c>
      <c r="D27" s="7">
        <v>7840329</v>
      </c>
      <c r="E27" s="7">
        <v>4072784</v>
      </c>
      <c r="F27" s="7">
        <v>1412701</v>
      </c>
      <c r="G27" s="14">
        <f t="shared" si="0"/>
        <v>23434718</v>
      </c>
      <c r="H27" s="10">
        <f t="shared" si="1"/>
        <v>0.4313644397171752</v>
      </c>
      <c r="I27" s="10">
        <f t="shared" si="2"/>
        <v>0.17379274630059555</v>
      </c>
      <c r="J27" s="10">
        <f t="shared" si="3"/>
        <v>0.33456041587528385</v>
      </c>
      <c r="K27" s="75">
        <f t="shared" si="4"/>
        <v>6.0282398106945433E-2</v>
      </c>
      <c r="M27" s="3">
        <f t="shared" si="5"/>
        <v>1989</v>
      </c>
      <c r="N27" s="3"/>
      <c r="O27" s="3"/>
      <c r="P27" s="3"/>
      <c r="Q27" s="3"/>
      <c r="R27" s="3"/>
    </row>
    <row r="28" spans="2:18" x14ac:dyDescent="0.25">
      <c r="B28" s="3">
        <v>1990</v>
      </c>
      <c r="C28" s="7">
        <v>14422728</v>
      </c>
      <c r="D28" s="7">
        <v>11769301</v>
      </c>
      <c r="E28" s="7">
        <v>4066884</v>
      </c>
      <c r="F28" s="7">
        <v>1319673</v>
      </c>
      <c r="G28" s="14">
        <f t="shared" si="0"/>
        <v>31578586</v>
      </c>
      <c r="H28" s="10">
        <f t="shared" si="1"/>
        <v>0.45672494645580392</v>
      </c>
      <c r="I28" s="10">
        <f t="shared" si="2"/>
        <v>0.12878613374265713</v>
      </c>
      <c r="J28" s="10">
        <f t="shared" si="3"/>
        <v>0.37269879658322891</v>
      </c>
      <c r="K28" s="75">
        <f t="shared" si="4"/>
        <v>4.1790123218310028E-2</v>
      </c>
      <c r="M28" s="3">
        <f t="shared" si="5"/>
        <v>1990</v>
      </c>
      <c r="N28" s="3"/>
      <c r="O28" s="3"/>
      <c r="P28" s="3"/>
      <c r="Q28" s="3"/>
      <c r="R28" s="3"/>
    </row>
    <row r="29" spans="2:18" x14ac:dyDescent="0.25">
      <c r="B29" s="3">
        <v>1991</v>
      </c>
      <c r="C29" s="7">
        <v>14075063</v>
      </c>
      <c r="D29" s="7">
        <v>13049823</v>
      </c>
      <c r="E29" s="7">
        <v>4930208</v>
      </c>
      <c r="F29" s="7">
        <v>1244539</v>
      </c>
      <c r="G29" s="14">
        <f t="shared" si="0"/>
        <v>33299633</v>
      </c>
      <c r="H29" s="10">
        <f t="shared" si="1"/>
        <v>0.42267922292116555</v>
      </c>
      <c r="I29" s="10">
        <f t="shared" si="2"/>
        <v>0.14805592602176726</v>
      </c>
      <c r="J29" s="10">
        <f t="shared" si="3"/>
        <v>0.39189089561437507</v>
      </c>
      <c r="K29" s="75">
        <f t="shared" si="4"/>
        <v>3.7373955442692119E-2</v>
      </c>
      <c r="M29" s="3">
        <f t="shared" si="5"/>
        <v>1991</v>
      </c>
      <c r="N29" s="3"/>
      <c r="O29" s="3"/>
      <c r="P29" s="3"/>
      <c r="Q29" s="3"/>
      <c r="R29" s="3"/>
    </row>
    <row r="30" spans="2:18" x14ac:dyDescent="0.25">
      <c r="B30" s="3">
        <v>1992</v>
      </c>
      <c r="C30" s="7">
        <v>15411473</v>
      </c>
      <c r="D30" s="7">
        <v>13251783</v>
      </c>
      <c r="E30" s="7">
        <v>4759466</v>
      </c>
      <c r="F30" s="7">
        <v>729272</v>
      </c>
      <c r="G30" s="14">
        <f t="shared" si="0"/>
        <v>34151994</v>
      </c>
      <c r="H30" s="10">
        <f t="shared" si="1"/>
        <v>0.45126129385007507</v>
      </c>
      <c r="I30" s="10">
        <f t="shared" si="2"/>
        <v>0.13936129175942114</v>
      </c>
      <c r="J30" s="10">
        <f t="shared" si="3"/>
        <v>0.3880236978256672</v>
      </c>
      <c r="K30" s="75">
        <f t="shared" si="4"/>
        <v>2.1353716564836596E-2</v>
      </c>
      <c r="M30" s="3">
        <f t="shared" si="5"/>
        <v>1992</v>
      </c>
      <c r="N30" s="3"/>
      <c r="O30" s="3"/>
      <c r="P30" s="3"/>
      <c r="Q30" s="3"/>
      <c r="R30" s="3"/>
    </row>
    <row r="31" spans="2:18" x14ac:dyDescent="0.25">
      <c r="B31" s="3">
        <v>1993</v>
      </c>
      <c r="C31" s="7">
        <v>19614749</v>
      </c>
      <c r="D31" s="7">
        <v>14284268</v>
      </c>
      <c r="E31" s="7">
        <v>4721902</v>
      </c>
      <c r="F31" s="7">
        <v>743275</v>
      </c>
      <c r="G31" s="14">
        <f t="shared" si="0"/>
        <v>39364194</v>
      </c>
      <c r="H31" s="10">
        <f t="shared" si="1"/>
        <v>0.49828910506842844</v>
      </c>
      <c r="I31" s="10">
        <f t="shared" si="2"/>
        <v>0.11995424064823987</v>
      </c>
      <c r="J31" s="10">
        <f t="shared" si="3"/>
        <v>0.36287464694437793</v>
      </c>
      <c r="K31" s="75">
        <f t="shared" si="4"/>
        <v>1.8882007338953771E-2</v>
      </c>
      <c r="M31" s="3">
        <f t="shared" si="5"/>
        <v>1993</v>
      </c>
      <c r="N31" s="3"/>
      <c r="O31" s="3"/>
      <c r="P31" s="3"/>
      <c r="Q31" s="3"/>
      <c r="R31" s="3"/>
    </row>
    <row r="32" spans="2:18" x14ac:dyDescent="0.25">
      <c r="B32" s="3">
        <v>1994</v>
      </c>
      <c r="C32" s="7">
        <v>20527460</v>
      </c>
      <c r="D32" s="7">
        <v>15055458</v>
      </c>
      <c r="E32" s="7">
        <v>5136870</v>
      </c>
      <c r="F32" s="7">
        <v>755281</v>
      </c>
      <c r="G32" s="14">
        <f t="shared" si="0"/>
        <v>41475069</v>
      </c>
      <c r="H32" s="10">
        <f t="shared" si="1"/>
        <v>0.49493492102448339</v>
      </c>
      <c r="I32" s="10">
        <f t="shared" si="2"/>
        <v>0.12385440516084494</v>
      </c>
      <c r="J32" s="10">
        <f t="shared" si="3"/>
        <v>0.3630001917537497</v>
      </c>
      <c r="K32" s="75">
        <f t="shared" si="4"/>
        <v>1.8210482060921948E-2</v>
      </c>
      <c r="M32" s="3">
        <f t="shared" si="5"/>
        <v>1994</v>
      </c>
      <c r="N32" s="3"/>
      <c r="O32" s="3"/>
      <c r="P32" s="3"/>
      <c r="Q32" s="3"/>
      <c r="R32" s="3"/>
    </row>
    <row r="33" spans="2:18" x14ac:dyDescent="0.25">
      <c r="B33" s="3">
        <v>1995</v>
      </c>
      <c r="C33" s="7">
        <v>20967940</v>
      </c>
      <c r="D33" s="7">
        <v>13928595</v>
      </c>
      <c r="E33" s="7">
        <v>5646282</v>
      </c>
      <c r="F33" s="7">
        <v>619848</v>
      </c>
      <c r="G33" s="14">
        <f t="shared" si="0"/>
        <v>41162665</v>
      </c>
      <c r="H33" s="10">
        <f t="shared" si="1"/>
        <v>0.50939218828518518</v>
      </c>
      <c r="I33" s="10">
        <f t="shared" si="2"/>
        <v>0.13716998158403981</v>
      </c>
      <c r="J33" s="10">
        <f t="shared" si="3"/>
        <v>0.33837932990976166</v>
      </c>
      <c r="K33" s="75">
        <f t="shared" si="4"/>
        <v>1.5058500221013387E-2</v>
      </c>
      <c r="M33" s="3">
        <f t="shared" si="5"/>
        <v>1995</v>
      </c>
      <c r="N33" s="3"/>
      <c r="O33" s="3"/>
      <c r="P33" s="3"/>
      <c r="Q33" s="3"/>
      <c r="R33" s="3"/>
    </row>
    <row r="34" spans="2:18" x14ac:dyDescent="0.25">
      <c r="B34" s="3">
        <v>1996</v>
      </c>
      <c r="C34" s="7">
        <v>21645238</v>
      </c>
      <c r="D34" s="7">
        <v>14902154</v>
      </c>
      <c r="E34" s="7">
        <v>5106172</v>
      </c>
      <c r="F34" s="7">
        <v>649015</v>
      </c>
      <c r="G34" s="14">
        <f t="shared" si="0"/>
        <v>42302579</v>
      </c>
      <c r="H34" s="10">
        <f t="shared" si="1"/>
        <v>0.51167655759238695</v>
      </c>
      <c r="I34" s="10">
        <f t="shared" si="2"/>
        <v>0.12070592670011916</v>
      </c>
      <c r="J34" s="10">
        <f t="shared" si="3"/>
        <v>0.35227530690268316</v>
      </c>
      <c r="K34" s="75">
        <f t="shared" si="4"/>
        <v>1.5342208804810695E-2</v>
      </c>
      <c r="M34" s="3">
        <f t="shared" si="5"/>
        <v>1996</v>
      </c>
      <c r="N34" s="3"/>
      <c r="O34" s="3"/>
      <c r="P34" s="3"/>
      <c r="Q34" s="3"/>
      <c r="R34" s="3"/>
    </row>
    <row r="35" spans="2:18" x14ac:dyDescent="0.25">
      <c r="B35" s="3">
        <v>1997</v>
      </c>
      <c r="C35" s="7">
        <v>21163131</v>
      </c>
      <c r="D35" s="7">
        <v>14984051</v>
      </c>
      <c r="E35" s="7">
        <v>5064869</v>
      </c>
      <c r="F35" s="7">
        <v>833133</v>
      </c>
      <c r="G35" s="14">
        <f t="shared" si="0"/>
        <v>42045184</v>
      </c>
      <c r="H35" s="10">
        <f t="shared" si="1"/>
        <v>0.5033425706972765</v>
      </c>
      <c r="I35" s="10">
        <f t="shared" si="2"/>
        <v>0.120462524316697</v>
      </c>
      <c r="J35" s="10">
        <f t="shared" si="3"/>
        <v>0.35637972234822424</v>
      </c>
      <c r="K35" s="75">
        <f t="shared" si="4"/>
        <v>1.9815182637802228E-2</v>
      </c>
      <c r="M35" s="3">
        <f t="shared" si="5"/>
        <v>1997</v>
      </c>
      <c r="N35" s="3"/>
      <c r="O35" s="3"/>
      <c r="P35" s="3"/>
      <c r="Q35" s="3"/>
      <c r="R35" s="3"/>
    </row>
    <row r="36" spans="2:18" x14ac:dyDescent="0.25">
      <c r="B36" s="3">
        <v>1998</v>
      </c>
      <c r="C36" s="7">
        <v>20957964</v>
      </c>
      <c r="D36" s="7">
        <v>13880970</v>
      </c>
      <c r="E36" s="7">
        <v>5080118</v>
      </c>
      <c r="F36" s="7">
        <v>603282</v>
      </c>
      <c r="G36" s="14">
        <f t="shared" si="0"/>
        <v>40522334</v>
      </c>
      <c r="H36" s="10">
        <f t="shared" si="1"/>
        <v>0.51719538168754053</v>
      </c>
      <c r="I36" s="10">
        <f t="shared" si="2"/>
        <v>0.12536587848074102</v>
      </c>
      <c r="J36" s="10">
        <f t="shared" si="3"/>
        <v>0.34255109787111471</v>
      </c>
      <c r="K36" s="75">
        <f t="shared" si="4"/>
        <v>1.4887641960603749E-2</v>
      </c>
      <c r="M36" s="3">
        <f t="shared" si="5"/>
        <v>1998</v>
      </c>
      <c r="N36" s="3"/>
      <c r="O36" s="3"/>
      <c r="P36" s="3"/>
      <c r="Q36" s="3"/>
      <c r="R36" s="3"/>
    </row>
    <row r="37" spans="2:18" x14ac:dyDescent="0.25">
      <c r="B37" s="3">
        <v>1999</v>
      </c>
      <c r="C37" s="7">
        <v>22525792</v>
      </c>
      <c r="D37" s="7">
        <v>12770293</v>
      </c>
      <c r="E37" s="7">
        <v>5137150</v>
      </c>
      <c r="F37" s="7">
        <v>601622</v>
      </c>
      <c r="G37" s="14">
        <f t="shared" si="0"/>
        <v>41034857</v>
      </c>
      <c r="H37" s="10">
        <f t="shared" si="1"/>
        <v>0.54894286581771201</v>
      </c>
      <c r="I37" s="10">
        <f t="shared" si="2"/>
        <v>0.1251899086671607</v>
      </c>
      <c r="J37" s="10">
        <f t="shared" si="3"/>
        <v>0.31120598275753708</v>
      </c>
      <c r="K37" s="75">
        <f t="shared" si="4"/>
        <v>1.4661242757590212E-2</v>
      </c>
      <c r="M37" s="3">
        <f t="shared" si="5"/>
        <v>1999</v>
      </c>
      <c r="N37" s="3"/>
      <c r="O37" s="3"/>
      <c r="P37" s="3"/>
      <c r="Q37" s="3"/>
      <c r="R37" s="3"/>
    </row>
    <row r="38" spans="2:18" x14ac:dyDescent="0.25">
      <c r="B38" s="3">
        <v>2000</v>
      </c>
      <c r="C38" s="7">
        <v>24362800</v>
      </c>
      <c r="D38" s="7">
        <v>15028666</v>
      </c>
      <c r="E38" s="7">
        <v>5218509</v>
      </c>
      <c r="F38" s="7">
        <v>613900</v>
      </c>
      <c r="G38" s="14">
        <f t="shared" si="0"/>
        <v>45223875</v>
      </c>
      <c r="H38" s="10">
        <f t="shared" si="1"/>
        <v>0.53871544621065759</v>
      </c>
      <c r="I38" s="10">
        <f t="shared" si="2"/>
        <v>0.11539278754861232</v>
      </c>
      <c r="J38" s="10">
        <f t="shared" si="3"/>
        <v>0.33231707809204764</v>
      </c>
      <c r="K38" s="75">
        <f t="shared" si="4"/>
        <v>1.3574688148682526E-2</v>
      </c>
      <c r="M38" s="3">
        <f t="shared" si="5"/>
        <v>2000</v>
      </c>
      <c r="N38" s="3"/>
      <c r="O38" s="3"/>
      <c r="P38" s="3"/>
      <c r="Q38" s="3"/>
      <c r="R38" s="3"/>
    </row>
    <row r="39" spans="2:18" x14ac:dyDescent="0.25">
      <c r="B39" s="3">
        <v>2001</v>
      </c>
      <c r="C39" s="7">
        <v>24194580</v>
      </c>
      <c r="D39" s="7">
        <v>14970881</v>
      </c>
      <c r="E39" s="7">
        <v>5316982</v>
      </c>
      <c r="F39" s="7">
        <v>615872</v>
      </c>
      <c r="G39" s="14">
        <f t="shared" si="0"/>
        <v>45098315</v>
      </c>
      <c r="H39" s="10">
        <f t="shared" si="1"/>
        <v>0.53648523231965539</v>
      </c>
      <c r="I39" s="10">
        <f t="shared" si="2"/>
        <v>0.11789757555243471</v>
      </c>
      <c r="J39" s="10">
        <f t="shared" si="3"/>
        <v>0.33196098346468156</v>
      </c>
      <c r="K39" s="75">
        <f t="shared" si="4"/>
        <v>1.3656208663228326E-2</v>
      </c>
      <c r="M39" s="3">
        <f t="shared" si="5"/>
        <v>2001</v>
      </c>
      <c r="N39" s="3"/>
      <c r="O39" s="3"/>
      <c r="P39" s="3"/>
      <c r="Q39" s="3"/>
      <c r="R39" s="3"/>
    </row>
    <row r="40" spans="2:18" x14ac:dyDescent="0.25">
      <c r="B40" s="3">
        <v>2002</v>
      </c>
      <c r="C40" s="7">
        <v>23217404</v>
      </c>
      <c r="D40" s="7">
        <v>15522618</v>
      </c>
      <c r="E40" s="7">
        <v>5288905</v>
      </c>
      <c r="F40" s="7">
        <v>685190</v>
      </c>
      <c r="G40" s="14">
        <f t="shared" ref="G40:G57" si="6">SUM(C40:F40)</f>
        <v>44714117</v>
      </c>
      <c r="H40" s="10">
        <f t="shared" ref="H40:H57" si="7">C40/$G40</f>
        <v>0.51924102627364865</v>
      </c>
      <c r="I40" s="10">
        <f t="shared" ref="I40:I57" si="8">E40/$G40</f>
        <v>0.11828266674705888</v>
      </c>
      <c r="J40" s="10">
        <f t="shared" ref="J40:J57" si="9">D40/$G40</f>
        <v>0.34715251114094459</v>
      </c>
      <c r="K40" s="75">
        <f t="shared" ref="K40:K57" si="10">F40/$G40</f>
        <v>1.5323795838347875E-2</v>
      </c>
      <c r="M40" s="3">
        <f t="shared" si="5"/>
        <v>2002</v>
      </c>
      <c r="N40" s="3"/>
      <c r="O40" s="3"/>
      <c r="P40" s="3"/>
      <c r="Q40" s="3"/>
      <c r="R40" s="3"/>
    </row>
    <row r="41" spans="2:18" x14ac:dyDescent="0.25">
      <c r="B41" s="3">
        <v>2003</v>
      </c>
      <c r="C41" s="7">
        <v>20940622</v>
      </c>
      <c r="D41" s="7">
        <v>15322131</v>
      </c>
      <c r="E41" s="7">
        <v>5305105</v>
      </c>
      <c r="F41" s="7">
        <v>604330</v>
      </c>
      <c r="G41" s="14">
        <f t="shared" si="6"/>
        <v>42172188</v>
      </c>
      <c r="H41" s="10">
        <f t="shared" si="7"/>
        <v>0.49655052282324075</v>
      </c>
      <c r="I41" s="10">
        <f t="shared" si="8"/>
        <v>0.12579629494205991</v>
      </c>
      <c r="J41" s="10">
        <f t="shared" si="9"/>
        <v>0.36332312186410626</v>
      </c>
      <c r="K41" s="75">
        <f t="shared" si="10"/>
        <v>1.4330060370593055E-2</v>
      </c>
      <c r="M41" s="3">
        <f t="shared" ref="M41:M72" si="11">M40+1</f>
        <v>2003</v>
      </c>
      <c r="N41" s="3"/>
      <c r="O41" s="3"/>
      <c r="P41" s="3"/>
      <c r="Q41" s="3"/>
      <c r="R41" s="3"/>
    </row>
    <row r="42" spans="2:18" x14ac:dyDescent="0.25">
      <c r="B42" s="3">
        <v>2004</v>
      </c>
      <c r="C42" s="7">
        <v>20556977</v>
      </c>
      <c r="D42" s="7">
        <v>17601859</v>
      </c>
      <c r="E42" s="7">
        <v>5409759</v>
      </c>
      <c r="F42" s="7">
        <v>609072</v>
      </c>
      <c r="G42" s="14">
        <f t="shared" si="6"/>
        <v>44177667</v>
      </c>
      <c r="H42" s="10">
        <f t="shared" si="7"/>
        <v>0.46532509288007445</v>
      </c>
      <c r="I42" s="10">
        <f t="shared" si="8"/>
        <v>0.12245461038039876</v>
      </c>
      <c r="J42" s="10">
        <f t="shared" si="9"/>
        <v>0.39843342112203434</v>
      </c>
      <c r="K42" s="75">
        <f t="shared" si="10"/>
        <v>1.3786875617492431E-2</v>
      </c>
      <c r="M42" s="3">
        <f t="shared" si="11"/>
        <v>2004</v>
      </c>
      <c r="N42" s="3"/>
      <c r="O42" s="3"/>
      <c r="P42" s="3"/>
      <c r="Q42" s="3"/>
      <c r="R42" s="3"/>
    </row>
    <row r="43" spans="2:18" x14ac:dyDescent="0.25">
      <c r="B43" s="3">
        <v>2005</v>
      </c>
      <c r="C43" s="7">
        <v>19691361</v>
      </c>
      <c r="D43" s="7">
        <v>17140077</v>
      </c>
      <c r="E43" s="7">
        <v>5593998</v>
      </c>
      <c r="F43" s="7">
        <v>518262</v>
      </c>
      <c r="G43" s="14">
        <f t="shared" si="6"/>
        <v>42943698</v>
      </c>
      <c r="H43" s="10">
        <f t="shared" si="7"/>
        <v>0.45853901543364989</v>
      </c>
      <c r="I43" s="10">
        <f t="shared" si="8"/>
        <v>0.13026353715509084</v>
      </c>
      <c r="J43" s="10">
        <f t="shared" si="9"/>
        <v>0.39912904100620306</v>
      </c>
      <c r="K43" s="75">
        <f t="shared" si="10"/>
        <v>1.206840640505622E-2</v>
      </c>
      <c r="M43" s="3">
        <f t="shared" si="11"/>
        <v>2005</v>
      </c>
      <c r="N43" s="3"/>
      <c r="O43" s="3"/>
      <c r="P43" s="3"/>
      <c r="Q43" s="3"/>
      <c r="R43" s="3"/>
    </row>
    <row r="44" spans="2:18" x14ac:dyDescent="0.25">
      <c r="B44" s="3">
        <v>2006</v>
      </c>
      <c r="C44" s="7">
        <v>19872131</v>
      </c>
      <c r="D44" s="7">
        <v>17811242</v>
      </c>
      <c r="E44" s="7">
        <v>5812398</v>
      </c>
      <c r="F44" s="7">
        <v>462762</v>
      </c>
      <c r="G44" s="14">
        <f t="shared" si="6"/>
        <v>43958533</v>
      </c>
      <c r="H44" s="10">
        <f t="shared" si="7"/>
        <v>0.45206538170871169</v>
      </c>
      <c r="I44" s="10">
        <f t="shared" si="8"/>
        <v>0.13222456718471473</v>
      </c>
      <c r="J44" s="10">
        <f t="shared" si="9"/>
        <v>0.40518281171939929</v>
      </c>
      <c r="K44" s="75">
        <f t="shared" si="10"/>
        <v>1.0527239387174273E-2</v>
      </c>
      <c r="M44" s="3">
        <f t="shared" si="11"/>
        <v>2006</v>
      </c>
      <c r="N44" s="3"/>
      <c r="O44" s="3"/>
      <c r="P44" s="3"/>
      <c r="Q44" s="3"/>
      <c r="R44" s="3"/>
    </row>
    <row r="45" spans="2:18" x14ac:dyDescent="0.25">
      <c r="B45" s="3">
        <v>2007</v>
      </c>
      <c r="C45" s="7">
        <v>20324023</v>
      </c>
      <c r="D45" s="7">
        <v>18426257</v>
      </c>
      <c r="E45" s="7">
        <v>6007242</v>
      </c>
      <c r="F45" s="7">
        <v>572561</v>
      </c>
      <c r="G45" s="14">
        <f t="shared" si="6"/>
        <v>45330083</v>
      </c>
      <c r="H45" s="10">
        <f t="shared" si="7"/>
        <v>0.44835618324369714</v>
      </c>
      <c r="I45" s="10">
        <f t="shared" si="8"/>
        <v>0.13252219282281041</v>
      </c>
      <c r="J45" s="10">
        <f t="shared" si="9"/>
        <v>0.40649069625572931</v>
      </c>
      <c r="K45" s="75">
        <f t="shared" si="10"/>
        <v>1.2630927677763132E-2</v>
      </c>
      <c r="M45" s="3">
        <f t="shared" si="11"/>
        <v>2007</v>
      </c>
      <c r="N45" s="3"/>
      <c r="O45" s="3"/>
      <c r="P45" s="3"/>
      <c r="Q45" s="3"/>
      <c r="R45" s="3"/>
    </row>
    <row r="46" spans="2:18" x14ac:dyDescent="0.25">
      <c r="B46" s="3">
        <v>2008</v>
      </c>
      <c r="C46" s="7">
        <v>19886009</v>
      </c>
      <c r="D46" s="7">
        <v>19023860</v>
      </c>
      <c r="E46" s="7">
        <v>6126606</v>
      </c>
      <c r="F46" s="7">
        <v>595794</v>
      </c>
      <c r="G46" s="14">
        <f t="shared" si="6"/>
        <v>45632269</v>
      </c>
      <c r="H46" s="10">
        <f t="shared" si="7"/>
        <v>0.43578830147587005</v>
      </c>
      <c r="I46" s="10">
        <f t="shared" si="8"/>
        <v>0.13426038490437545</v>
      </c>
      <c r="J46" s="10">
        <f t="shared" si="9"/>
        <v>0.41689489514536304</v>
      </c>
      <c r="K46" s="75">
        <f t="shared" si="10"/>
        <v>1.3056418474391445E-2</v>
      </c>
      <c r="M46" s="3">
        <f t="shared" si="11"/>
        <v>2008</v>
      </c>
      <c r="N46" s="3"/>
      <c r="O46" s="3"/>
      <c r="P46" s="3"/>
      <c r="Q46" s="3"/>
      <c r="R46" s="3"/>
    </row>
    <row r="47" spans="2:18" x14ac:dyDescent="0.25">
      <c r="B47" s="3">
        <v>2009</v>
      </c>
      <c r="C47" s="7">
        <v>19679416</v>
      </c>
      <c r="D47" s="7">
        <v>19832811</v>
      </c>
      <c r="E47" s="7">
        <v>6704208</v>
      </c>
      <c r="F47" s="7">
        <v>624341</v>
      </c>
      <c r="G47" s="14">
        <f t="shared" si="6"/>
        <v>46840776</v>
      </c>
      <c r="H47" s="10">
        <f t="shared" si="7"/>
        <v>0.42013428641745815</v>
      </c>
      <c r="I47" s="10">
        <f t="shared" si="8"/>
        <v>0.14312760318061341</v>
      </c>
      <c r="J47" s="10">
        <f t="shared" si="9"/>
        <v>0.42340910406778914</v>
      </c>
      <c r="K47" s="75">
        <f t="shared" si="10"/>
        <v>1.3329006334139297E-2</v>
      </c>
      <c r="M47" s="3">
        <f t="shared" si="11"/>
        <v>2009</v>
      </c>
      <c r="N47" s="3"/>
      <c r="O47" s="3"/>
      <c r="P47" s="3"/>
      <c r="Q47" s="3"/>
      <c r="R47" s="3"/>
    </row>
    <row r="48" spans="2:18" x14ac:dyDescent="0.25">
      <c r="B48" s="3">
        <v>2010</v>
      </c>
      <c r="C48" s="7">
        <v>22009572</v>
      </c>
      <c r="D48" s="7">
        <v>21316906</v>
      </c>
      <c r="E48" s="7">
        <v>7033252</v>
      </c>
      <c r="F48" s="7">
        <v>640097</v>
      </c>
      <c r="G48" s="14">
        <f t="shared" si="6"/>
        <v>50999827</v>
      </c>
      <c r="H48" s="10">
        <f t="shared" si="7"/>
        <v>0.43156169921909737</v>
      </c>
      <c r="I48" s="10">
        <f t="shared" si="8"/>
        <v>0.13790736976421508</v>
      </c>
      <c r="J48" s="10">
        <f t="shared" si="9"/>
        <v>0.41797996687322098</v>
      </c>
      <c r="K48" s="75">
        <f t="shared" si="10"/>
        <v>1.2550964143466604E-2</v>
      </c>
      <c r="M48" s="3">
        <f t="shared" si="11"/>
        <v>2010</v>
      </c>
      <c r="N48" s="3"/>
      <c r="O48" s="3"/>
      <c r="P48" s="3"/>
      <c r="Q48" s="3"/>
      <c r="R48" s="3"/>
    </row>
    <row r="49" spans="2:18" x14ac:dyDescent="0.25">
      <c r="B49" s="3">
        <v>2011</v>
      </c>
      <c r="C49" s="7">
        <v>22447510</v>
      </c>
      <c r="D49" s="7">
        <v>23073294</v>
      </c>
      <c r="E49" s="7">
        <v>7551397</v>
      </c>
      <c r="F49" s="7">
        <v>625279</v>
      </c>
      <c r="G49" s="14">
        <f t="shared" si="6"/>
        <v>53697480</v>
      </c>
      <c r="H49" s="10">
        <f t="shared" si="7"/>
        <v>0.41803656335455591</v>
      </c>
      <c r="I49" s="10">
        <f t="shared" si="8"/>
        <v>0.14062851739038779</v>
      </c>
      <c r="J49" s="10">
        <f t="shared" si="9"/>
        <v>0.42969044357388836</v>
      </c>
      <c r="K49" s="75">
        <f t="shared" si="10"/>
        <v>1.1644475681167906E-2</v>
      </c>
      <c r="M49" s="3">
        <f t="shared" si="11"/>
        <v>2011</v>
      </c>
      <c r="N49" s="3"/>
      <c r="O49" s="3"/>
      <c r="P49" s="3"/>
      <c r="Q49" s="3"/>
      <c r="R49" s="3"/>
    </row>
    <row r="50" spans="2:18" x14ac:dyDescent="0.25">
      <c r="B50" s="3">
        <v>2012</v>
      </c>
      <c r="C50" s="7">
        <v>22007099</v>
      </c>
      <c r="D50" s="7">
        <v>23134961</v>
      </c>
      <c r="E50" s="7">
        <v>7356646</v>
      </c>
      <c r="F50" s="7">
        <v>627017</v>
      </c>
      <c r="G50" s="14">
        <f t="shared" si="6"/>
        <v>53125723</v>
      </c>
      <c r="H50" s="10">
        <f t="shared" si="7"/>
        <v>0.41424563765466305</v>
      </c>
      <c r="I50" s="10">
        <f t="shared" si="8"/>
        <v>0.13847615777389044</v>
      </c>
      <c r="J50" s="10">
        <f t="shared" si="9"/>
        <v>0.43547569225551996</v>
      </c>
      <c r="K50" s="75">
        <f t="shared" si="10"/>
        <v>1.1802512315926505E-2</v>
      </c>
      <c r="M50" s="3">
        <f t="shared" si="11"/>
        <v>2012</v>
      </c>
      <c r="N50" s="3"/>
      <c r="O50" s="3"/>
      <c r="P50" s="3"/>
      <c r="Q50" s="3"/>
      <c r="R50" s="3"/>
    </row>
    <row r="51" spans="2:18" x14ac:dyDescent="0.25">
      <c r="B51" s="3">
        <v>2013</v>
      </c>
      <c r="C51" s="7">
        <v>21851501</v>
      </c>
      <c r="D51" s="7">
        <v>24013085</v>
      </c>
      <c r="E51" s="7">
        <v>7111315</v>
      </c>
      <c r="F51" s="7">
        <v>649843</v>
      </c>
      <c r="G51" s="14">
        <f t="shared" si="6"/>
        <v>53625744</v>
      </c>
      <c r="H51" s="10">
        <f t="shared" si="7"/>
        <v>0.40748154468495579</v>
      </c>
      <c r="I51" s="10">
        <f t="shared" si="8"/>
        <v>0.13261009488278616</v>
      </c>
      <c r="J51" s="10">
        <f t="shared" si="9"/>
        <v>0.44779024417824392</v>
      </c>
      <c r="K51" s="75">
        <f t="shared" si="10"/>
        <v>1.2118116254014117E-2</v>
      </c>
      <c r="M51" s="3">
        <f t="shared" si="11"/>
        <v>2013</v>
      </c>
      <c r="N51" s="3"/>
      <c r="O51" s="3"/>
      <c r="P51" s="3"/>
      <c r="Q51" s="3"/>
      <c r="R51" s="3"/>
    </row>
    <row r="52" spans="2:18" x14ac:dyDescent="0.25">
      <c r="B52" s="3">
        <v>2014</v>
      </c>
      <c r="C52" s="7">
        <v>21772693</v>
      </c>
      <c r="D52" s="7">
        <v>22981800</v>
      </c>
      <c r="E52" s="7">
        <v>6879395</v>
      </c>
      <c r="F52" s="7">
        <v>603895</v>
      </c>
      <c r="G52" s="14">
        <f t="shared" si="6"/>
        <v>52237783</v>
      </c>
      <c r="H52" s="10">
        <f t="shared" si="7"/>
        <v>0.41679971372445113</v>
      </c>
      <c r="I52" s="10">
        <f t="shared" si="8"/>
        <v>0.13169385461860048</v>
      </c>
      <c r="J52" s="10">
        <f t="shared" si="9"/>
        <v>0.43994592955830458</v>
      </c>
      <c r="K52" s="75">
        <f t="shared" si="10"/>
        <v>1.156050209864381E-2</v>
      </c>
      <c r="M52" s="3">
        <f t="shared" si="11"/>
        <v>2014</v>
      </c>
      <c r="N52" s="3"/>
      <c r="O52" s="3"/>
      <c r="P52" s="3"/>
      <c r="Q52" s="3"/>
      <c r="R52" s="3"/>
    </row>
    <row r="53" spans="2:18" x14ac:dyDescent="0.25">
      <c r="B53" s="3">
        <v>2015</v>
      </c>
      <c r="C53" s="7">
        <v>21937171</v>
      </c>
      <c r="D53" s="7">
        <v>22147352</v>
      </c>
      <c r="E53" s="7">
        <v>6640187</v>
      </c>
      <c r="F53" s="7">
        <v>613993</v>
      </c>
      <c r="G53" s="14">
        <f t="shared" si="6"/>
        <v>51338703</v>
      </c>
      <c r="H53" s="10">
        <f t="shared" si="7"/>
        <v>0.42730278947639172</v>
      </c>
      <c r="I53" s="10">
        <f t="shared" si="8"/>
        <v>0.12934076266009292</v>
      </c>
      <c r="J53" s="10">
        <f t="shared" si="9"/>
        <v>0.43139679629226318</v>
      </c>
      <c r="K53" s="75">
        <f t="shared" si="10"/>
        <v>1.19596515712522E-2</v>
      </c>
      <c r="M53" s="3">
        <f t="shared" si="11"/>
        <v>2015</v>
      </c>
      <c r="N53" s="3"/>
      <c r="O53" s="3"/>
      <c r="P53" s="3"/>
      <c r="Q53" s="3"/>
      <c r="R53" s="3"/>
    </row>
    <row r="54" spans="2:18" x14ac:dyDescent="0.25">
      <c r="B54" s="3">
        <v>2016</v>
      </c>
      <c r="C54" s="7">
        <v>22450593</v>
      </c>
      <c r="D54" s="7">
        <v>22244623</v>
      </c>
      <c r="E54" s="7">
        <v>6622245</v>
      </c>
      <c r="F54" s="7">
        <v>620881</v>
      </c>
      <c r="G54" s="14">
        <f t="shared" si="6"/>
        <v>51938342</v>
      </c>
      <c r="H54" s="10">
        <f t="shared" si="7"/>
        <v>0.43225471078764893</v>
      </c>
      <c r="I54" s="10">
        <f t="shared" si="8"/>
        <v>0.12750204848664595</v>
      </c>
      <c r="J54" s="10">
        <f t="shared" si="9"/>
        <v>0.42828904703966098</v>
      </c>
      <c r="K54" s="75">
        <f t="shared" si="10"/>
        <v>1.1954193686044117E-2</v>
      </c>
      <c r="M54" s="3">
        <f t="shared" si="11"/>
        <v>2016</v>
      </c>
      <c r="N54" s="3"/>
      <c r="O54" s="3"/>
      <c r="P54" s="3"/>
      <c r="Q54" s="3"/>
      <c r="R54" s="3"/>
    </row>
    <row r="55" spans="2:18" x14ac:dyDescent="0.25">
      <c r="B55" s="3">
        <v>2017</v>
      </c>
      <c r="C55" s="7">
        <v>22850066</v>
      </c>
      <c r="D55" s="7">
        <v>22885852</v>
      </c>
      <c r="E55" s="7">
        <v>6894975</v>
      </c>
      <c r="F55" s="7">
        <v>637120</v>
      </c>
      <c r="G55" s="14">
        <f t="shared" si="6"/>
        <v>53268013</v>
      </c>
      <c r="H55" s="10">
        <f t="shared" si="7"/>
        <v>0.42896411397962225</v>
      </c>
      <c r="I55" s="10">
        <f t="shared" si="8"/>
        <v>0.12943931285741783</v>
      </c>
      <c r="J55" s="10">
        <f t="shared" si="9"/>
        <v>0.42963592428349073</v>
      </c>
      <c r="K55" s="75">
        <f t="shared" si="10"/>
        <v>1.1960648879469186E-2</v>
      </c>
      <c r="M55" s="3">
        <f t="shared" si="11"/>
        <v>2017</v>
      </c>
      <c r="N55" s="3"/>
      <c r="O55" s="3"/>
      <c r="P55" s="3"/>
      <c r="Q55" s="3"/>
      <c r="R55" s="3"/>
    </row>
    <row r="56" spans="2:18" x14ac:dyDescent="0.25">
      <c r="B56" s="3">
        <v>2018</v>
      </c>
      <c r="C56" s="7">
        <v>22316140</v>
      </c>
      <c r="D56" s="7">
        <v>22741621</v>
      </c>
      <c r="E56" s="7">
        <v>6971313</v>
      </c>
      <c r="F56" s="7">
        <v>640429</v>
      </c>
      <c r="G56" s="14">
        <f t="shared" si="6"/>
        <v>52669503</v>
      </c>
      <c r="H56" s="10">
        <f t="shared" si="7"/>
        <v>0.42370135901984873</v>
      </c>
      <c r="I56" s="10">
        <f t="shared" si="8"/>
        <v>0.13235957438216192</v>
      </c>
      <c r="J56" s="10">
        <f t="shared" si="9"/>
        <v>0.43177967713118537</v>
      </c>
      <c r="K56" s="75">
        <f t="shared" si="10"/>
        <v>1.2159389466803968E-2</v>
      </c>
      <c r="M56" s="3">
        <f t="shared" si="11"/>
        <v>2018</v>
      </c>
      <c r="N56" s="3"/>
      <c r="O56" s="3"/>
      <c r="P56" s="3"/>
      <c r="Q56" s="3"/>
      <c r="R56" s="3"/>
    </row>
    <row r="57" spans="2:18" x14ac:dyDescent="0.25">
      <c r="B57" s="3">
        <v>2019</v>
      </c>
      <c r="C57" s="7">
        <v>23239007</v>
      </c>
      <c r="D57" s="7">
        <v>22682460</v>
      </c>
      <c r="E57" s="7">
        <v>6798679</v>
      </c>
      <c r="F57" s="7">
        <v>645259</v>
      </c>
      <c r="G57" s="14">
        <f t="shared" si="6"/>
        <v>53365405</v>
      </c>
      <c r="H57" s="10">
        <f t="shared" si="7"/>
        <v>0.43546951437921255</v>
      </c>
      <c r="I57" s="10">
        <f t="shared" si="8"/>
        <v>0.12739862088557183</v>
      </c>
      <c r="J57" s="10">
        <f t="shared" si="9"/>
        <v>0.42504052953406801</v>
      </c>
      <c r="K57" s="75">
        <f t="shared" si="10"/>
        <v>1.2091335201147635E-2</v>
      </c>
      <c r="M57" s="3">
        <f t="shared" si="11"/>
        <v>2019</v>
      </c>
      <c r="N57" s="7">
        <f>INDEX('1. Power'!$W:$W,MATCH(Main!$M57,'1. Power'!$B:$B,0))</f>
        <v>23239007</v>
      </c>
      <c r="O57" s="7">
        <f>INDEX('2. Industry'!$M$8:$O$72,MATCH(Main!$M57,'2. Industry'!$B$8:$B$72,0),MATCH(Main!O$4,'2. Industry'!$M$6:$O$6,0))</f>
        <v>22682460</v>
      </c>
      <c r="P57" s="7">
        <f>INDEX('3. Transport'!$H$8:$J$88,MATCH(Main!$M57,'3. Transport'!$B$8:$B$88,0),MATCH(Main!P$4,'3. Transport'!$H$6:$J$6,0))</f>
        <v>6798679</v>
      </c>
      <c r="Q57" s="7">
        <f t="shared" ref="Q57:Q88" si="12">SUM(N57:P57)/(1-Q$4)*Q$4</f>
        <v>532526.72727272729</v>
      </c>
      <c r="R57" s="7">
        <f t="shared" ref="R57:R88" si="13">SUM(N57:Q57)</f>
        <v>53252672.727272727</v>
      </c>
    </row>
    <row r="58" spans="2:18" x14ac:dyDescent="0.25">
      <c r="M58" s="3">
        <f t="shared" si="11"/>
        <v>2020</v>
      </c>
      <c r="N58" s="7">
        <f>INDEX('1. Power'!$W:$W,MATCH(Main!$M58,'1. Power'!$B:$B,0))</f>
        <v>22493372.556654561</v>
      </c>
      <c r="O58" s="7">
        <f>INDEX('2. Industry'!$M$8:$O$72,MATCH(Main!$M58,'2. Industry'!$B$8:$B$72,0),MATCH(Main!O$4,'2. Industry'!$M$6:$O$6,0))</f>
        <v>26302157.214589871</v>
      </c>
      <c r="P58" s="7">
        <f>INDEX('3. Transport'!$H$8:$J$88,MATCH(Main!$M58,'3. Transport'!$B$8:$B$88,0),MATCH(Main!P$4,'3. Transport'!$H$6:$J$6,0))</f>
        <v>7005451.2752512973</v>
      </c>
      <c r="Q58" s="7">
        <f t="shared" si="12"/>
        <v>563646.27319692669</v>
      </c>
      <c r="R58" s="7">
        <f t="shared" si="13"/>
        <v>56364627.319692664</v>
      </c>
    </row>
    <row r="59" spans="2:18" x14ac:dyDescent="0.25">
      <c r="M59" s="3">
        <f t="shared" si="11"/>
        <v>2021</v>
      </c>
      <c r="N59" s="7">
        <f>INDEX('1. Power'!$W:$W,MATCH(Main!$M59,'1. Power'!$B:$B,0))</f>
        <v>22695308.540901899</v>
      </c>
      <c r="O59" s="7">
        <f>INDEX('2. Industry'!$M$8:$O$72,MATCH(Main!$M59,'2. Industry'!$B$8:$B$72,0),MATCH(Main!O$4,'2. Industry'!$M$6:$O$6,0))</f>
        <v>26647956.927514002</v>
      </c>
      <c r="P59" s="7">
        <f>INDEX('3. Transport'!$H$8:$J$88,MATCH(Main!$M59,'3. Transport'!$B$8:$B$88,0),MATCH(Main!P$4,'3. Transport'!$H$6:$J$6,0))</f>
        <v>7102114.0379816629</v>
      </c>
      <c r="Q59" s="7">
        <f t="shared" si="12"/>
        <v>570155.34854947031</v>
      </c>
      <c r="R59" s="7">
        <f t="shared" si="13"/>
        <v>57015534.854947031</v>
      </c>
    </row>
    <row r="60" spans="2:18" x14ac:dyDescent="0.25">
      <c r="D60" s="12"/>
      <c r="M60" s="3">
        <f t="shared" si="11"/>
        <v>2022</v>
      </c>
      <c r="N60" s="7">
        <f>INDEX('1. Power'!$W:$W,MATCH(Main!$M60,'1. Power'!$B:$B,0))</f>
        <v>22885168.103592187</v>
      </c>
      <c r="O60" s="7">
        <f>INDEX('2. Industry'!$M$8:$O$72,MATCH(Main!$M60,'2. Industry'!$B$8:$B$72,0),MATCH(Main!O$4,'2. Industry'!$M$6:$O$6,0))</f>
        <v>27128732.550247021</v>
      </c>
      <c r="P60" s="7">
        <f>INDEX('3. Transport'!$H$8:$J$88,MATCH(Main!$M60,'3. Transport'!$B$8:$B$88,0),MATCH(Main!P$4,'3. Transport'!$H$6:$J$6,0))</f>
        <v>7090963.2556823511</v>
      </c>
      <c r="Q60" s="7">
        <f t="shared" si="12"/>
        <v>576816.80716688442</v>
      </c>
      <c r="R60" s="7">
        <f t="shared" si="13"/>
        <v>57681680.716688439</v>
      </c>
    </row>
    <row r="61" spans="2:18" x14ac:dyDescent="0.25">
      <c r="D61" s="12"/>
      <c r="M61" s="3">
        <f t="shared" si="11"/>
        <v>2023</v>
      </c>
      <c r="N61" s="7">
        <f>INDEX('1. Power'!$W:$W,MATCH(Main!$M61,'1. Power'!$B:$B,0))</f>
        <v>23074084.28293553</v>
      </c>
      <c r="O61" s="7">
        <f>INDEX('2. Industry'!$M$8:$O$72,MATCH(Main!$M61,'2. Industry'!$B$8:$B$72,0),MATCH(Main!O$4,'2. Industry'!$M$6:$O$6,0))</f>
        <v>27609508.172980048</v>
      </c>
      <c r="P61" s="7">
        <f>INDEX('3. Transport'!$H$8:$J$88,MATCH(Main!$M61,'3. Transport'!$B$8:$B$88,0),MATCH(Main!P$4,'3. Transport'!$H$6:$J$6,0))</f>
        <v>7489518.8290907172</v>
      </c>
      <c r="Q61" s="7">
        <f t="shared" si="12"/>
        <v>587607.18469703326</v>
      </c>
      <c r="R61" s="7">
        <f t="shared" si="13"/>
        <v>58760718.469703324</v>
      </c>
    </row>
    <row r="62" spans="2:18" x14ac:dyDescent="0.25">
      <c r="C62" s="8"/>
      <c r="H62" s="8"/>
      <c r="M62" s="3">
        <f t="shared" si="11"/>
        <v>2024</v>
      </c>
      <c r="N62" s="7">
        <f>INDEX('1. Power'!$W:$W,MATCH(Main!$M62,'1. Power'!$B:$B,0))</f>
        <v>23256541.103340596</v>
      </c>
      <c r="O62" s="7">
        <f>INDEX('2. Industry'!$M$8:$O$72,MATCH(Main!$M62,'2. Industry'!$B$8:$B$72,0),MATCH(Main!O$4,'2. Industry'!$M$6:$O$6,0))</f>
        <v>28090283.795713075</v>
      </c>
      <c r="P62" s="7">
        <f>INDEX('3. Transport'!$H$8:$J$88,MATCH(Main!$M62,'3. Transport'!$B$8:$B$88,0),MATCH(Main!P$4,'3. Transport'!$H$6:$J$6,0))</f>
        <v>7577629.1997098755</v>
      </c>
      <c r="Q62" s="7">
        <f t="shared" si="12"/>
        <v>595196.50604811672</v>
      </c>
      <c r="R62" s="7">
        <f t="shared" si="13"/>
        <v>59519650.604811661</v>
      </c>
    </row>
    <row r="63" spans="2:18" x14ac:dyDescent="0.25">
      <c r="M63" s="3">
        <f t="shared" si="11"/>
        <v>2025</v>
      </c>
      <c r="N63" s="7">
        <f>INDEX('1. Power'!$W:$W,MATCH(Main!$M63,'1. Power'!$B:$B,0))</f>
        <v>23428349.033366345</v>
      </c>
      <c r="O63" s="7">
        <f>INDEX('2. Industry'!$M$8:$O$72,MATCH(Main!$M63,'2. Industry'!$B$8:$B$72,0),MATCH(Main!O$4,'2. Industry'!$M$6:$O$6,0))</f>
        <v>28571059.418446094</v>
      </c>
      <c r="P63" s="7">
        <f>INDEX('3. Transport'!$H$8:$J$88,MATCH(Main!$M63,'3. Transport'!$B$8:$B$88,0),MATCH(Main!P$4,'3. Transport'!$H$6:$J$6,0))</f>
        <v>8129360.3356862646</v>
      </c>
      <c r="Q63" s="7">
        <f t="shared" si="12"/>
        <v>607361.30088382529</v>
      </c>
      <c r="R63" s="7">
        <f t="shared" si="13"/>
        <v>60736130.088382527</v>
      </c>
    </row>
    <row r="64" spans="2:18" x14ac:dyDescent="0.25">
      <c r="M64" s="3">
        <f t="shared" si="11"/>
        <v>2026</v>
      </c>
      <c r="N64" s="7">
        <f>INDEX('1. Power'!$W:$W,MATCH(Main!$M64,'1. Power'!$B:$B,0))</f>
        <v>23589710.263506904</v>
      </c>
      <c r="O64" s="7">
        <f>INDEX('2. Industry'!$M$8:$O$72,MATCH(Main!$M64,'2. Industry'!$B$8:$B$72,0),MATCH(Main!O$4,'2. Industry'!$M$6:$O$6,0))</f>
        <v>29051835.041179121</v>
      </c>
      <c r="P64" s="7">
        <f>INDEX('3. Transport'!$H$8:$J$88,MATCH(Main!$M64,'3. Transport'!$B$8:$B$88,0),MATCH(Main!P$4,'3. Transport'!$H$6:$J$6,0))</f>
        <v>8251902.423532242</v>
      </c>
      <c r="Q64" s="7">
        <f t="shared" si="12"/>
        <v>615085.33058806334</v>
      </c>
      <c r="R64" s="7">
        <f t="shared" si="13"/>
        <v>61508533.05880633</v>
      </c>
    </row>
    <row r="65" spans="13:18" x14ac:dyDescent="0.25">
      <c r="M65" s="3">
        <f t="shared" si="11"/>
        <v>2027</v>
      </c>
      <c r="N65" s="7">
        <f>INDEX('1. Power'!$W:$W,MATCH(Main!$M65,'1. Power'!$B:$B,0))</f>
        <v>23742349.388182212</v>
      </c>
      <c r="O65" s="7">
        <f>INDEX('2. Industry'!$M$8:$O$72,MATCH(Main!$M65,'2. Industry'!$B$8:$B$72,0),MATCH(Main!O$4,'2. Industry'!$M$6:$O$6,0))</f>
        <v>29532610.663912147</v>
      </c>
      <c r="P65" s="7">
        <f>INDEX('3. Transport'!$H$8:$J$88,MATCH(Main!$M65,'3. Transport'!$B$8:$B$88,0),MATCH(Main!P$4,'3. Transport'!$H$6:$J$6,0))</f>
        <v>8343157.8843049584</v>
      </c>
      <c r="Q65" s="7">
        <f t="shared" si="12"/>
        <v>622405.23168080114</v>
      </c>
      <c r="R65" s="7">
        <f t="shared" si="13"/>
        <v>62240523.168080114</v>
      </c>
    </row>
    <row r="66" spans="13:18" x14ac:dyDescent="0.25">
      <c r="M66" s="3">
        <f t="shared" si="11"/>
        <v>2028</v>
      </c>
      <c r="N66" s="7">
        <f>INDEX('1. Power'!$W:$W,MATCH(Main!$M66,'1. Power'!$B:$B,0))</f>
        <v>23885584.125645719</v>
      </c>
      <c r="O66" s="7">
        <f>INDEX('2. Industry'!$M$8:$O$72,MATCH(Main!$M66,'2. Industry'!$B$8:$B$72,0),MATCH(Main!O$4,'2. Industry'!$M$6:$O$6,0))</f>
        <v>30013386.286645174</v>
      </c>
      <c r="P66" s="7">
        <f>INDEX('3. Transport'!$H$8:$J$88,MATCH(Main!$M66,'3. Transport'!$B$8:$B$88,0),MATCH(Main!P$4,'3. Transport'!$H$6:$J$6,0))</f>
        <v>8624922.7942691594</v>
      </c>
      <c r="Q66" s="7">
        <f t="shared" si="12"/>
        <v>631554.4768339399</v>
      </c>
      <c r="R66" s="7">
        <f t="shared" si="13"/>
        <v>63155447.683393992</v>
      </c>
    </row>
    <row r="67" spans="13:18" x14ac:dyDescent="0.25">
      <c r="M67" s="3">
        <f t="shared" si="11"/>
        <v>2029</v>
      </c>
      <c r="N67" s="7">
        <f>INDEX('1. Power'!$W:$W,MATCH(Main!$M67,'1. Power'!$B:$B,0))</f>
        <v>24018618.831015021</v>
      </c>
      <c r="O67" s="7">
        <f>INDEX('2. Industry'!$M$8:$O$72,MATCH(Main!$M67,'2. Industry'!$B$8:$B$72,0),MATCH(Main!O$4,'2. Industry'!$M$6:$O$6,0))</f>
        <v>30494161.909378201</v>
      </c>
      <c r="P67" s="7">
        <f>INDEX('3. Transport'!$H$8:$J$88,MATCH(Main!$M67,'3. Transport'!$B$8:$B$88,0),MATCH(Main!P$4,'3. Transport'!$H$6:$J$6,0))</f>
        <v>8774610.4322505891</v>
      </c>
      <c r="Q67" s="7">
        <f t="shared" si="12"/>
        <v>639266.57750145264</v>
      </c>
      <c r="R67" s="7">
        <f t="shared" si="13"/>
        <v>63926657.750145264</v>
      </c>
    </row>
    <row r="68" spans="13:18" x14ac:dyDescent="0.25">
      <c r="M68" s="3">
        <f t="shared" si="11"/>
        <v>2030</v>
      </c>
      <c r="N68" s="7">
        <f>INDEX('1. Power'!$W:$W,MATCH(Main!$M68,'1. Power'!$B:$B,0))</f>
        <v>24140879.090726186</v>
      </c>
      <c r="O68" s="7">
        <f>INDEX('2. Industry'!$M$8:$O$72,MATCH(Main!$M68,'2. Industry'!$B$8:$B$72,0),MATCH(Main!O$4,'2. Industry'!$M$6:$O$6,0))</f>
        <v>30974937.532111228</v>
      </c>
      <c r="P68" s="7">
        <f>INDEX('3. Transport'!$H$8:$J$88,MATCH(Main!$M68,'3. Transport'!$B$8:$B$88,0),MATCH(Main!P$4,'3. Transport'!$H$6:$J$6,0))</f>
        <v>8609169.9710967336</v>
      </c>
      <c r="Q68" s="7">
        <f t="shared" si="12"/>
        <v>643686.73327206203</v>
      </c>
      <c r="R68" s="7">
        <f t="shared" si="13"/>
        <v>64368673.327206202</v>
      </c>
    </row>
    <row r="69" spans="13:18" x14ac:dyDescent="0.25">
      <c r="M69" s="3">
        <f t="shared" si="11"/>
        <v>2031</v>
      </c>
      <c r="N69" s="7">
        <f>INDEX('1. Power'!$W:$W,MATCH(Main!$M69,'1. Power'!$B:$B,0))</f>
        <v>24252041.884535201</v>
      </c>
      <c r="O69" s="7">
        <f>INDEX('2. Industry'!$M$8:$O$72,MATCH(Main!$M69,'2. Industry'!$B$8:$B$72,0),MATCH(Main!O$4,'2. Industry'!$M$6:$O$6,0))</f>
        <v>31455713.154844254</v>
      </c>
      <c r="P69" s="7">
        <f>INDEX('3. Transport'!$H$8:$J$88,MATCH(Main!$M69,'3. Transport'!$B$8:$B$88,0),MATCH(Main!P$4,'3. Transport'!$H$6:$J$6,0))</f>
        <v>8505704.4559661672</v>
      </c>
      <c r="Q69" s="7">
        <f t="shared" si="12"/>
        <v>648620.80298328912</v>
      </c>
      <c r="R69" s="7">
        <f t="shared" si="13"/>
        <v>64862080.298328914</v>
      </c>
    </row>
    <row r="70" spans="13:18" x14ac:dyDescent="0.25">
      <c r="M70" s="3">
        <f t="shared" si="11"/>
        <v>2032</v>
      </c>
      <c r="N70" s="7">
        <f>INDEX('1. Power'!$W:$W,MATCH(Main!$M70,'1. Power'!$B:$B,0))</f>
        <v>24351883.284474172</v>
      </c>
      <c r="O70" s="7">
        <f>INDEX('2. Industry'!$M$8:$O$72,MATCH(Main!$M70,'2. Industry'!$B$8:$B$72,0),MATCH(Main!O$4,'2. Industry'!$M$6:$O$6,0))</f>
        <v>31936488.777577281</v>
      </c>
      <c r="P70" s="7">
        <f>INDEX('3. Transport'!$H$8:$J$88,MATCH(Main!$M70,'3. Transport'!$B$8:$B$88,0),MATCH(Main!P$4,'3. Transport'!$H$6:$J$6,0))</f>
        <v>8529904.7932729349</v>
      </c>
      <c r="Q70" s="7">
        <f t="shared" si="12"/>
        <v>654730.06924570096</v>
      </c>
      <c r="R70" s="7">
        <f t="shared" si="13"/>
        <v>65473006.924570091</v>
      </c>
    </row>
    <row r="71" spans="13:18" x14ac:dyDescent="0.25">
      <c r="M71" s="3">
        <f t="shared" si="11"/>
        <v>2033</v>
      </c>
      <c r="N71" s="7">
        <f>INDEX('1. Power'!$W:$W,MATCH(Main!$M71,'1. Power'!$B:$B,0))</f>
        <v>24440180.283449739</v>
      </c>
      <c r="O71" s="7">
        <f>INDEX('2. Industry'!$M$8:$O$72,MATCH(Main!$M71,'2. Industry'!$B$8:$B$72,0),MATCH(Main!O$4,'2. Industry'!$M$6:$O$6,0))</f>
        <v>32417264.4003103</v>
      </c>
      <c r="P71" s="7">
        <f>INDEX('3. Transport'!$H$8:$J$88,MATCH(Main!$M71,'3. Transport'!$B$8:$B$88,0),MATCH(Main!P$4,'3. Transport'!$H$6:$J$6,0))</f>
        <v>8660821.3184116762</v>
      </c>
      <c r="Q71" s="7">
        <f t="shared" si="12"/>
        <v>661800.66668860323</v>
      </c>
      <c r="R71" s="7">
        <f t="shared" si="13"/>
        <v>66180066.668860324</v>
      </c>
    </row>
    <row r="72" spans="13:18" x14ac:dyDescent="0.25">
      <c r="M72" s="3">
        <f t="shared" si="11"/>
        <v>2034</v>
      </c>
      <c r="N72" s="7">
        <f>INDEX('1. Power'!$W:$W,MATCH(Main!$M72,'1. Power'!$B:$B,0))</f>
        <v>24516670.852316942</v>
      </c>
      <c r="O72" s="7">
        <f>INDEX('2. Industry'!$M$8:$O$72,MATCH(Main!$M72,'2. Industry'!$B$8:$B$72,0),MATCH(Main!O$4,'2. Industry'!$M$6:$O$6,0))</f>
        <v>32898040.023043327</v>
      </c>
      <c r="P72" s="7">
        <f>INDEX('3. Transport'!$H$8:$J$88,MATCH(Main!$M72,'3. Transport'!$B$8:$B$88,0),MATCH(Main!P$4,'3. Transport'!$H$6:$J$6,0))</f>
        <v>8841368.4893020391</v>
      </c>
      <c r="Q72" s="7">
        <f t="shared" si="12"/>
        <v>669253.3269157809</v>
      </c>
      <c r="R72" s="7">
        <f t="shared" si="13"/>
        <v>66925332.691578083</v>
      </c>
    </row>
    <row r="73" spans="13:18" x14ac:dyDescent="0.25">
      <c r="M73" s="3">
        <f t="shared" ref="M73:M88" si="14">M72+1</f>
        <v>2035</v>
      </c>
      <c r="N73" s="7">
        <f>INDEX('1. Power'!$W:$W,MATCH(Main!$M73,'1. Power'!$B:$B,0))</f>
        <v>24581204.879805926</v>
      </c>
      <c r="O73" s="7">
        <f>INDEX('2. Industry'!$M$8:$O$72,MATCH(Main!$M73,'2. Industry'!$B$8:$B$72,0),MATCH(Main!O$4,'2. Industry'!$M$6:$O$6,0))</f>
        <v>33378815.645776354</v>
      </c>
      <c r="P73" s="7">
        <f>INDEX('3. Transport'!$H$8:$J$88,MATCH(Main!$M73,'3. Transport'!$B$8:$B$88,0),MATCH(Main!P$4,'3. Transport'!$H$6:$J$6,0))</f>
        <v>8995539.0944151357</v>
      </c>
      <c r="Q73" s="7">
        <f t="shared" si="12"/>
        <v>676318.78404037806</v>
      </c>
      <c r="R73" s="7">
        <f t="shared" si="13"/>
        <v>67631878.404037803</v>
      </c>
    </row>
    <row r="74" spans="13:18" x14ac:dyDescent="0.25">
      <c r="M74" s="3">
        <f t="shared" si="14"/>
        <v>2036</v>
      </c>
      <c r="N74" s="7">
        <f>INDEX('1. Power'!$W:$W,MATCH(Main!$M74,'1. Power'!$B:$B,0))</f>
        <v>24633858.848307855</v>
      </c>
      <c r="O74" s="7">
        <f>INDEX('2. Industry'!$M$8:$O$72,MATCH(Main!$M74,'2. Industry'!$B$8:$B$72,0),MATCH(Main!O$4,'2. Industry'!$M$6:$O$6,0))</f>
        <v>33859591.268509381</v>
      </c>
      <c r="P74" s="7">
        <f>INDEX('3. Transport'!$H$8:$J$88,MATCH(Main!$M74,'3. Transport'!$B$8:$B$88,0),MATCH(Main!P$4,'3. Transport'!$H$6:$J$6,0))</f>
        <v>8869985.9043217506</v>
      </c>
      <c r="Q74" s="7">
        <f t="shared" si="12"/>
        <v>680438.74768827262</v>
      </c>
      <c r="R74" s="7">
        <f t="shared" si="13"/>
        <v>68043874.76882726</v>
      </c>
    </row>
    <row r="75" spans="13:18" x14ac:dyDescent="0.25">
      <c r="M75" s="3">
        <f t="shared" si="14"/>
        <v>2037</v>
      </c>
      <c r="N75" s="7">
        <f>INDEX('1. Power'!$W:$W,MATCH(Main!$M75,'1. Power'!$B:$B,0))</f>
        <v>24674695.800698578</v>
      </c>
      <c r="O75" s="7">
        <f>INDEX('2. Industry'!$M$8:$O$72,MATCH(Main!$M75,'2. Industry'!$B$8:$B$72,0),MATCH(Main!O$4,'2. Industry'!$M$6:$O$6,0))</f>
        <v>34340366.8912424</v>
      </c>
      <c r="P75" s="7">
        <f>INDEX('3. Transport'!$H$8:$J$88,MATCH(Main!$M75,'3. Transport'!$B$8:$B$88,0),MATCH(Main!P$4,'3. Transport'!$H$6:$J$6,0))</f>
        <v>8956380.1211876608</v>
      </c>
      <c r="Q75" s="7">
        <f t="shared" si="12"/>
        <v>686580.23043564276</v>
      </c>
      <c r="R75" s="7">
        <f t="shared" si="13"/>
        <v>68658023.043564275</v>
      </c>
    </row>
    <row r="76" spans="13:18" x14ac:dyDescent="0.25">
      <c r="M76" s="3">
        <f t="shared" si="14"/>
        <v>2038</v>
      </c>
      <c r="N76" s="7">
        <f>INDEX('1. Power'!$W:$W,MATCH(Main!$M76,'1. Power'!$B:$B,0))</f>
        <v>24703986.498282701</v>
      </c>
      <c r="O76" s="7">
        <f>INDEX('2. Industry'!$M$8:$O$72,MATCH(Main!$M76,'2. Industry'!$B$8:$B$72,0),MATCH(Main!O$4,'2. Industry'!$M$6:$O$6,0))</f>
        <v>34821142.513975427</v>
      </c>
      <c r="P76" s="7">
        <f>INDEX('3. Transport'!$H$8:$J$88,MATCH(Main!$M76,'3. Transport'!$B$8:$B$88,0),MATCH(Main!P$4,'3. Transport'!$H$6:$J$6,0))</f>
        <v>9053042.8839180283</v>
      </c>
      <c r="Q76" s="7">
        <f t="shared" si="12"/>
        <v>692708.80703208235</v>
      </c>
      <c r="R76" s="7">
        <f t="shared" si="13"/>
        <v>69270880.703208238</v>
      </c>
    </row>
    <row r="77" spans="13:18" x14ac:dyDescent="0.25">
      <c r="M77" s="3">
        <f t="shared" si="14"/>
        <v>2039</v>
      </c>
      <c r="N77" s="7">
        <f>INDEX('1. Power'!$W:$W,MATCH(Main!$M77,'1. Power'!$B:$B,0))</f>
        <v>24722226.143279705</v>
      </c>
      <c r="O77" s="7">
        <f>INDEX('2. Industry'!$M$8:$O$72,MATCH(Main!$M77,'2. Industry'!$B$8:$B$72,0),MATCH(Main!O$4,'2. Industry'!$M$6:$O$6,0))</f>
        <v>35301918.136708453</v>
      </c>
      <c r="P77" s="7">
        <f>INDEX('3. Transport'!$H$8:$J$88,MATCH(Main!$M77,'3. Transport'!$B$8:$B$88,0),MATCH(Main!P$4,'3. Transport'!$H$6:$J$6,0))</f>
        <v>9041892.1016187165</v>
      </c>
      <c r="Q77" s="7">
        <f t="shared" si="12"/>
        <v>697636.73112734209</v>
      </c>
      <c r="R77" s="7">
        <f t="shared" si="13"/>
        <v>69763673.112734213</v>
      </c>
    </row>
    <row r="78" spans="13:18" x14ac:dyDescent="0.25">
      <c r="M78" s="3">
        <f t="shared" si="14"/>
        <v>2040</v>
      </c>
      <c r="N78" s="7">
        <f>INDEX('1. Power'!$W:$W,MATCH(Main!$M78,'1. Power'!$B:$B,0))</f>
        <v>24729824.378043525</v>
      </c>
      <c r="O78" s="7">
        <f>INDEX('2. Industry'!$M$8:$O$72,MATCH(Main!$M78,'2. Industry'!$B$8:$B$72,0),MATCH(Main!O$4,'2. Industry'!$M$6:$O$6,0))</f>
        <v>35782693.75944148</v>
      </c>
      <c r="P78" s="7">
        <f>INDEX('3. Transport'!$H$8:$J$88,MATCH(Main!$M78,'3. Transport'!$B$8:$B$88,0),MATCH(Main!P$4,'3. Transport'!$H$6:$J$6,0))</f>
        <v>9440447.6750270817</v>
      </c>
      <c r="Q78" s="7">
        <f t="shared" si="12"/>
        <v>706595.61426779884</v>
      </c>
      <c r="R78" s="7">
        <f t="shared" si="13"/>
        <v>70659561.426779881</v>
      </c>
    </row>
    <row r="79" spans="13:18" x14ac:dyDescent="0.25">
      <c r="M79" s="3">
        <f t="shared" si="14"/>
        <v>2041</v>
      </c>
      <c r="N79" s="7">
        <f>INDEX('1. Power'!$W:$W,MATCH(Main!$M79,'1. Power'!$B:$B,0))</f>
        <v>24727101.2589298</v>
      </c>
      <c r="O79" s="7">
        <f>INDEX('2. Industry'!$M$8:$O$72,MATCH(Main!$M79,'2. Industry'!$B$8:$B$72,0),MATCH(Main!O$4,'2. Industry'!$M$6:$O$6,0))</f>
        <v>36263469.382174499</v>
      </c>
      <c r="P79" s="7">
        <f>INDEX('3. Transport'!$H$8:$J$88,MATCH(Main!$M79,'3. Transport'!$B$8:$B$88,0),MATCH(Main!P$4,'3. Transport'!$H$6:$J$6,0))</f>
        <v>9528558.0456462391</v>
      </c>
      <c r="Q79" s="7">
        <f t="shared" si="12"/>
        <v>712314.43117929832</v>
      </c>
      <c r="R79" s="7">
        <f t="shared" si="13"/>
        <v>71231443.117929831</v>
      </c>
    </row>
    <row r="80" spans="13:18" x14ac:dyDescent="0.25">
      <c r="M80" s="3">
        <f t="shared" si="14"/>
        <v>2042</v>
      </c>
      <c r="N80" s="7">
        <f>INDEX('1. Power'!$W:$W,MATCH(Main!$M80,'1. Power'!$B:$B,0))</f>
        <v>24714441.862891082</v>
      </c>
      <c r="O80" s="7">
        <f>INDEX('2. Industry'!$M$8:$O$72,MATCH(Main!$M80,'2. Industry'!$B$8:$B$72,0),MATCH(Main!O$4,'2. Industry'!$M$6:$O$6,0))</f>
        <v>36744245.004907526</v>
      </c>
      <c r="P80" s="7">
        <f>INDEX('3. Transport'!$H$8:$J$88,MATCH(Main!$M80,'3. Transport'!$B$8:$B$88,0),MATCH(Main!P$4,'3. Transport'!$H$6:$J$6,0))</f>
        <v>10080289.181622628</v>
      </c>
      <c r="Q80" s="7">
        <f t="shared" si="12"/>
        <v>722615.91969112365</v>
      </c>
      <c r="R80" s="7">
        <f t="shared" si="13"/>
        <v>72261591.969112366</v>
      </c>
    </row>
    <row r="81" spans="2:18" x14ac:dyDescent="0.25">
      <c r="M81" s="3">
        <f t="shared" si="14"/>
        <v>2043</v>
      </c>
      <c r="N81" s="7">
        <f>INDEX('1. Power'!$W:$W,MATCH(Main!$M81,'1. Power'!$B:$B,0))</f>
        <v>24692502.866929237</v>
      </c>
      <c r="O81" s="7">
        <f>INDEX('2. Industry'!$M$8:$O$72,MATCH(Main!$M81,'2. Industry'!$B$8:$B$72,0),MATCH(Main!O$4,'2. Industry'!$M$6:$O$6,0))</f>
        <v>37225020.627640553</v>
      </c>
      <c r="P81" s="7">
        <f>INDEX('3. Transport'!$H$8:$J$88,MATCH(Main!$M81,'3. Transport'!$B$8:$B$88,0),MATCH(Main!P$4,'3. Transport'!$H$6:$J$6,0))</f>
        <v>10202831.269468607</v>
      </c>
      <c r="Q81" s="7">
        <f t="shared" si="12"/>
        <v>728488.43195998389</v>
      </c>
      <c r="R81" s="7">
        <f t="shared" si="13"/>
        <v>72848843.195998386</v>
      </c>
    </row>
    <row r="82" spans="2:18" x14ac:dyDescent="0.25">
      <c r="M82" s="3">
        <f t="shared" si="14"/>
        <v>2044</v>
      </c>
      <c r="N82" s="7">
        <f>INDEX('1. Power'!$W:$W,MATCH(Main!$M82,'1. Power'!$B:$B,0))</f>
        <v>24662132.137183256</v>
      </c>
      <c r="O82" s="7">
        <f>INDEX('2. Industry'!$M$8:$O$72,MATCH(Main!$M82,'2. Industry'!$B$8:$B$72,0),MATCH(Main!O$4,'2. Industry'!$M$6:$O$6,0))</f>
        <v>37705796.25037358</v>
      </c>
      <c r="P82" s="7">
        <f>INDEX('3. Transport'!$H$8:$J$88,MATCH(Main!$M82,'3. Transport'!$B$8:$B$88,0),MATCH(Main!P$4,'3. Transport'!$H$6:$J$6,0))</f>
        <v>10294086.730241325</v>
      </c>
      <c r="Q82" s="7">
        <f t="shared" si="12"/>
        <v>733959.74866462802</v>
      </c>
      <c r="R82" s="7">
        <f t="shared" si="13"/>
        <v>73395974.866462797</v>
      </c>
    </row>
    <row r="83" spans="2:18" x14ac:dyDescent="0.25">
      <c r="M83" s="3">
        <f t="shared" si="14"/>
        <v>2045</v>
      </c>
      <c r="N83" s="7">
        <f>INDEX('1. Power'!$W:$W,MATCH(Main!$M83,'1. Power'!$B:$B,0))</f>
        <v>24624086.645182718</v>
      </c>
      <c r="O83" s="7">
        <f>INDEX('2. Industry'!$M$8:$O$72,MATCH(Main!$M83,'2. Industry'!$B$8:$B$72,0),MATCH(Main!O$4,'2. Industry'!$M$6:$O$6,0))</f>
        <v>38186571.873106599</v>
      </c>
      <c r="P83" s="7">
        <f>INDEX('3. Transport'!$H$8:$J$88,MATCH(Main!$M83,'3. Transport'!$B$8:$B$88,0),MATCH(Main!P$4,'3. Transport'!$H$6:$J$6,0))</f>
        <v>10575851.640205525</v>
      </c>
      <c r="Q83" s="7">
        <f t="shared" si="12"/>
        <v>741277.88038883673</v>
      </c>
      <c r="R83" s="7">
        <f t="shared" si="13"/>
        <v>74127788.038883671</v>
      </c>
    </row>
    <row r="84" spans="2:18" x14ac:dyDescent="0.25">
      <c r="M84" s="3">
        <f t="shared" si="14"/>
        <v>2046</v>
      </c>
      <c r="N84" s="7">
        <f>INDEX('1. Power'!$W:$W,MATCH(Main!$M84,'1. Power'!$B:$B,0))</f>
        <v>24578844.117399883</v>
      </c>
      <c r="O84" s="7">
        <f>INDEX('2. Industry'!$M$8:$O$72,MATCH(Main!$M84,'2. Industry'!$B$8:$B$72,0),MATCH(Main!O$4,'2. Industry'!$M$6:$O$6,0))</f>
        <v>38667347.495839626</v>
      </c>
      <c r="P84" s="7">
        <f>INDEX('3. Transport'!$H$8:$J$88,MATCH(Main!$M84,'3. Transport'!$B$8:$B$88,0),MATCH(Main!P$4,'3. Transport'!$H$6:$J$6,0))</f>
        <v>10725539.278186953</v>
      </c>
      <c r="Q84" s="7">
        <f t="shared" si="12"/>
        <v>747189.20092349965</v>
      </c>
      <c r="R84" s="7">
        <f t="shared" si="13"/>
        <v>74718920.092349961</v>
      </c>
    </row>
    <row r="85" spans="2:18" x14ac:dyDescent="0.25">
      <c r="M85" s="3">
        <f t="shared" si="14"/>
        <v>2047</v>
      </c>
      <c r="N85" s="7">
        <f>INDEX('1. Power'!$W:$W,MATCH(Main!$M85,'1. Power'!$B:$B,0))</f>
        <v>24526810.430564631</v>
      </c>
      <c r="O85" s="7">
        <f>INDEX('2. Industry'!$M$8:$O$72,MATCH(Main!$M85,'2. Industry'!$B$8:$B$72,0),MATCH(Main!O$4,'2. Industry'!$M$6:$O$6,0))</f>
        <v>39148123.118572652</v>
      </c>
      <c r="P85" s="7">
        <f>INDEX('3. Transport'!$H$8:$J$88,MATCH(Main!$M85,'3. Transport'!$B$8:$B$88,0),MATCH(Main!P$4,'3. Transport'!$H$6:$J$6,0))</f>
        <v>10560098.817033099</v>
      </c>
      <c r="Q85" s="7">
        <f t="shared" si="12"/>
        <v>749848.81177949882</v>
      </c>
      <c r="R85" s="7">
        <f t="shared" si="13"/>
        <v>74984881.177949876</v>
      </c>
    </row>
    <row r="86" spans="2:18" x14ac:dyDescent="0.25">
      <c r="M86" s="3">
        <f t="shared" si="14"/>
        <v>2048</v>
      </c>
      <c r="N86" s="7">
        <f>INDEX('1. Power'!$W:$W,MATCH(Main!$M86,'1. Power'!$B:$B,0))</f>
        <v>24468880.774198662</v>
      </c>
      <c r="O86" s="7">
        <f>INDEX('2. Industry'!$M$8:$O$72,MATCH(Main!$M86,'2. Industry'!$B$8:$B$72,0),MATCH(Main!O$4,'2. Industry'!$M$6:$O$6,0))</f>
        <v>39628898.741305672</v>
      </c>
      <c r="P86" s="7">
        <f>INDEX('3. Transport'!$H$8:$J$88,MATCH(Main!$M86,'3. Transport'!$B$8:$B$88,0),MATCH(Main!P$4,'3. Transport'!$H$6:$J$6,0))</f>
        <v>10456633.301902531</v>
      </c>
      <c r="Q86" s="7">
        <f t="shared" si="12"/>
        <v>753074.87694350362</v>
      </c>
      <c r="R86" s="7">
        <f t="shared" si="13"/>
        <v>75307487.694350362</v>
      </c>
    </row>
    <row r="87" spans="2:18" x14ac:dyDescent="0.25">
      <c r="M87" s="3">
        <f t="shared" si="14"/>
        <v>2049</v>
      </c>
      <c r="N87" s="7">
        <f>INDEX('1. Power'!$W:$W,MATCH(Main!$M87,'1. Power'!$B:$B,0))</f>
        <v>24405526.864856407</v>
      </c>
      <c r="O87" s="7">
        <f>INDEX('2. Industry'!$M$8:$O$72,MATCH(Main!$M87,'2. Industry'!$B$8:$B$72,0),MATCH(Main!O$4,'2. Industry'!$M$6:$O$6,0))</f>
        <v>40109674.364038706</v>
      </c>
      <c r="P87" s="7">
        <f>INDEX('3. Transport'!$H$8:$J$88,MATCH(Main!$M87,'3. Transport'!$B$8:$B$88,0),MATCH(Main!P$4,'3. Transport'!$H$6:$J$6,0))</f>
        <v>10480833.6392093</v>
      </c>
      <c r="Q87" s="7">
        <f t="shared" si="12"/>
        <v>757535.7057384284</v>
      </c>
      <c r="R87" s="7">
        <f t="shared" si="13"/>
        <v>75753570.573842838</v>
      </c>
    </row>
    <row r="88" spans="2:18" x14ac:dyDescent="0.25">
      <c r="M88" s="3">
        <f t="shared" si="14"/>
        <v>2050</v>
      </c>
      <c r="N88" s="7">
        <f>INDEX('1. Power'!$W:$W,MATCH(Main!$M88,'1. Power'!$B:$B,0))</f>
        <v>24337511.762068614</v>
      </c>
      <c r="O88" s="7">
        <f>INDEX('2. Industry'!$M$8:$O$72,MATCH(Main!$M88,'2. Industry'!$B$8:$B$72,0),MATCH(Main!O$4,'2. Industry'!$M$6:$O$6,0))</f>
        <v>40590449.986771725</v>
      </c>
      <c r="P88" s="7">
        <f>INDEX('3. Transport'!$H$8:$J$88,MATCH(Main!$M88,'3. Transport'!$B$8:$B$88,0),MATCH(Main!P$4,'3. Transport'!$H$6:$J$6,0))</f>
        <v>10611750.164348042</v>
      </c>
      <c r="Q88" s="7">
        <f t="shared" si="12"/>
        <v>763027.39306250901</v>
      </c>
      <c r="R88" s="7">
        <f t="shared" si="13"/>
        <v>76302739.306250885</v>
      </c>
    </row>
    <row r="89" spans="2:18" x14ac:dyDescent="0.25">
      <c r="B89" s="15" t="s">
        <v>30</v>
      </c>
    </row>
    <row r="90" spans="2:18" x14ac:dyDescent="0.25">
      <c r="B90" s="1" t="s">
        <v>31</v>
      </c>
    </row>
    <row r="91" spans="2:18" x14ac:dyDescent="0.25">
      <c r="B91" s="1" t="s">
        <v>32</v>
      </c>
    </row>
  </sheetData>
  <conditionalFormatting sqref="N8:R88">
    <cfRule type="expression" dxfId="25" priority="8">
      <formula>ISBLANK(N8)</formula>
    </cfRule>
  </conditionalFormatting>
  <hyperlinks>
    <hyperlink ref="D5" location="'2. Industry'!A1" display="'2. Industry'!A1" xr:uid="{2BD61BFC-3B20-4F71-8821-53D46FF72779}"/>
    <hyperlink ref="E5" location="'3. Transport'!A1" display="'3. Transport'!A1" xr:uid="{A2187E23-AB34-432B-8B88-FD066DFCEA98}"/>
    <hyperlink ref="C5" location="'1. Power'!A1" display="'1. Power'!A1" xr:uid="{8075420D-4BF7-44CD-8996-46142BBBC1EB}"/>
  </hyperlinks>
  <pageMargins left="0.7" right="0.7" top="0.75" bottom="0.75" header="0.3" footer="0.3"/>
  <ignoredErrors>
    <ignoredError sqref="G8:G57" formulaRange="1"/>
  </ignoredErrors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E648445-5772-42B6-8AD3-1456AFFCC6B6}">
          <x14:formula1>
            <xm:f>'0. Electricity'!$I$2:$K$2</xm:f>
          </x14:formula1>
          <xm:sqref>N4</xm:sqref>
        </x14:dataValidation>
        <x14:dataValidation type="list" allowBlank="1" showInputMessage="1" showErrorMessage="1" xr:uid="{59493806-9669-4A73-BD4C-B4D5F71F703A}">
          <x14:formula1>
            <xm:f>'2. Industry'!$M$6:$O$6</xm:f>
          </x14:formula1>
          <xm:sqref>O4</xm:sqref>
        </x14:dataValidation>
        <x14:dataValidation type="list" allowBlank="1" showInputMessage="1" showErrorMessage="1" xr:uid="{A0DD6029-ED28-4562-B40D-1E4C58022A3E}">
          <x14:formula1>
            <xm:f>'3. Transport'!$H$6:$J$6</xm:f>
          </x14:formula1>
          <xm:sqref>P4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6EA47-5D17-4218-9E08-BB4C1330B1DA}">
  <sheetPr codeName="Sheet3"/>
  <dimension ref="B1:U57"/>
  <sheetViews>
    <sheetView showGridLines="0" zoomScale="70" zoomScaleNormal="70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C13" sqref="C13"/>
    </sheetView>
  </sheetViews>
  <sheetFormatPr defaultColWidth="8.7265625" defaultRowHeight="15" x14ac:dyDescent="0.25"/>
  <cols>
    <col min="1" max="1" width="2.7265625" customWidth="1"/>
    <col min="2" max="2" width="8.7265625" customWidth="1"/>
    <col min="3" max="3" width="12.26953125" customWidth="1"/>
    <col min="4" max="4" width="10.26953125" customWidth="1"/>
    <col min="5" max="5" width="2.54296875" customWidth="1"/>
    <col min="6" max="11" width="14.7265625" customWidth="1"/>
    <col min="12" max="12" width="2.7265625" customWidth="1"/>
    <col min="13" max="13" width="13.54296875" customWidth="1"/>
    <col min="20" max="24" width="13.7265625" customWidth="1"/>
  </cols>
  <sheetData>
    <row r="1" spans="2:21" ht="22.8" x14ac:dyDescent="0.4">
      <c r="B1" s="6" t="s">
        <v>69</v>
      </c>
      <c r="T1" s="6"/>
    </row>
    <row r="2" spans="2:21" ht="15.6" x14ac:dyDescent="0.3">
      <c r="B2" s="48" t="s">
        <v>1</v>
      </c>
      <c r="C2" s="48"/>
      <c r="D2" s="49"/>
      <c r="E2" s="43"/>
      <c r="F2" s="48" t="s">
        <v>70</v>
      </c>
      <c r="G2" s="48"/>
      <c r="H2" s="49"/>
      <c r="I2" s="68" t="s">
        <v>8</v>
      </c>
      <c r="J2" s="68" t="s">
        <v>71</v>
      </c>
      <c r="K2" s="68" t="s">
        <v>72</v>
      </c>
      <c r="L2" s="43"/>
      <c r="M2" s="48" t="s">
        <v>73</v>
      </c>
      <c r="N2" s="49"/>
      <c r="O2" s="49"/>
      <c r="P2" s="49"/>
      <c r="Q2" s="49"/>
      <c r="R2" s="49"/>
      <c r="S2" s="49"/>
      <c r="T2" s="49"/>
      <c r="U2" s="49"/>
    </row>
    <row r="3" spans="2:21" ht="9" customHeight="1" x14ac:dyDescent="0.25">
      <c r="B3" s="2"/>
      <c r="C3" s="1"/>
      <c r="D3" s="1"/>
      <c r="E3" s="1"/>
      <c r="G3" s="1"/>
      <c r="H3" s="1"/>
      <c r="I3" s="1"/>
      <c r="J3" s="1"/>
      <c r="K3" s="1"/>
    </row>
    <row r="4" spans="2:21" x14ac:dyDescent="0.25">
      <c r="C4" s="24" t="s">
        <v>74</v>
      </c>
      <c r="D4" s="25">
        <f>CORREL($C$8:$C$22,$D$8:$D$22)</f>
        <v>0.97146836140550397</v>
      </c>
      <c r="E4" s="1"/>
      <c r="F4" s="26" t="s">
        <v>75</v>
      </c>
      <c r="G4" s="27">
        <f>$N$20</f>
        <v>-8441.4380588057393</v>
      </c>
      <c r="I4" s="26" t="s">
        <v>76</v>
      </c>
      <c r="J4" s="27">
        <f>$N$21</f>
        <v>10.016717549077049</v>
      </c>
      <c r="K4" s="1"/>
      <c r="M4" t="s">
        <v>77</v>
      </c>
    </row>
    <row r="5" spans="2:21" ht="12.45" customHeight="1" thickBot="1" x14ac:dyDescent="0.3">
      <c r="B5" s="2"/>
      <c r="C5" s="1"/>
      <c r="D5" s="1"/>
      <c r="E5" s="1"/>
      <c r="F5" s="1"/>
      <c r="G5" s="1"/>
      <c r="H5" s="1"/>
      <c r="I5" s="1"/>
      <c r="J5" s="1"/>
      <c r="K5" s="1"/>
    </row>
    <row r="6" spans="2:21" ht="15.6" x14ac:dyDescent="0.3">
      <c r="B6" s="22"/>
      <c r="C6" s="23"/>
      <c r="D6" s="23" t="s">
        <v>78</v>
      </c>
      <c r="E6" s="1"/>
      <c r="F6" s="23" t="s">
        <v>78</v>
      </c>
      <c r="G6" s="23" t="s">
        <v>78</v>
      </c>
      <c r="H6" s="23" t="s">
        <v>78</v>
      </c>
      <c r="I6" s="23" t="s">
        <v>43</v>
      </c>
      <c r="J6" s="23" t="s">
        <v>43</v>
      </c>
      <c r="K6" s="23" t="s">
        <v>43</v>
      </c>
      <c r="M6" s="18" t="s">
        <v>79</v>
      </c>
      <c r="N6" s="18"/>
    </row>
    <row r="7" spans="2:21" s="35" customFormat="1" ht="37.200000000000003" customHeight="1" x14ac:dyDescent="0.25">
      <c r="B7" s="32" t="s">
        <v>15</v>
      </c>
      <c r="C7" s="32" t="s">
        <v>45</v>
      </c>
      <c r="D7" s="32" t="s">
        <v>3</v>
      </c>
      <c r="E7" s="33"/>
      <c r="F7" s="108" t="s">
        <v>80</v>
      </c>
      <c r="G7" s="108" t="s">
        <v>81</v>
      </c>
      <c r="H7" s="108" t="s">
        <v>82</v>
      </c>
      <c r="I7" s="108" t="s">
        <v>83</v>
      </c>
      <c r="J7" s="108" t="s">
        <v>84</v>
      </c>
      <c r="K7" s="108" t="s">
        <v>85</v>
      </c>
      <c r="M7" s="39" t="s">
        <v>86</v>
      </c>
      <c r="N7" s="36">
        <v>0.97146836140550419</v>
      </c>
      <c r="O7" s="36"/>
      <c r="P7" s="36"/>
      <c r="Q7" s="36"/>
      <c r="R7" s="36"/>
      <c r="S7" s="36"/>
      <c r="T7" s="36"/>
      <c r="U7" s="36"/>
    </row>
    <row r="8" spans="2:21" x14ac:dyDescent="0.25">
      <c r="B8" s="3">
        <v>2005</v>
      </c>
      <c r="C8" s="7">
        <v>35489.300000000003</v>
      </c>
      <c r="D8" s="7">
        <v>4265.6930000000002</v>
      </c>
      <c r="E8" s="1"/>
      <c r="F8" s="7"/>
      <c r="G8" s="7"/>
      <c r="H8" s="7"/>
      <c r="I8" s="7"/>
      <c r="J8" s="7"/>
      <c r="K8" s="7"/>
      <c r="M8" t="s">
        <v>87</v>
      </c>
      <c r="N8">
        <v>0.94375077721189526</v>
      </c>
    </row>
    <row r="9" spans="2:21" x14ac:dyDescent="0.25">
      <c r="B9" s="3">
        <f>B8+1</f>
        <v>2006</v>
      </c>
      <c r="C9" s="7">
        <v>36801.800000000003</v>
      </c>
      <c r="D9" s="7">
        <v>4402.3239999999996</v>
      </c>
      <c r="E9" s="1"/>
      <c r="F9" s="7"/>
      <c r="G9" s="7"/>
      <c r="H9" s="7"/>
      <c r="I9" s="7"/>
      <c r="J9" s="7"/>
      <c r="K9" s="7"/>
      <c r="M9" t="s">
        <v>88</v>
      </c>
      <c r="N9">
        <v>0.93942391392050262</v>
      </c>
    </row>
    <row r="10" spans="2:21" x14ac:dyDescent="0.25">
      <c r="B10" s="3">
        <f t="shared" ref="B10:B53" si="0">B9+1</f>
        <v>2007</v>
      </c>
      <c r="C10" s="7">
        <v>38304.9</v>
      </c>
      <c r="D10" s="7">
        <v>4578.6289999999999</v>
      </c>
      <c r="E10" s="1"/>
      <c r="F10" s="7"/>
      <c r="G10" s="7"/>
      <c r="H10" s="7"/>
      <c r="I10" s="7"/>
      <c r="J10" s="7"/>
      <c r="K10" s="7"/>
      <c r="M10" t="s">
        <v>89</v>
      </c>
      <c r="N10">
        <v>1291.727791143672</v>
      </c>
    </row>
    <row r="11" spans="2:21" ht="15.6" thickBot="1" x14ac:dyDescent="0.3">
      <c r="B11" s="3">
        <f t="shared" si="0"/>
        <v>2008</v>
      </c>
      <c r="C11" s="7">
        <v>38986.9</v>
      </c>
      <c r="D11" s="7">
        <v>4775.8100000000004</v>
      </c>
      <c r="E11" s="1"/>
      <c r="F11" s="7"/>
      <c r="G11" s="7"/>
      <c r="H11" s="7"/>
      <c r="I11" s="7"/>
      <c r="J11" s="7"/>
      <c r="K11" s="7"/>
      <c r="M11" s="16" t="s">
        <v>90</v>
      </c>
      <c r="N11" s="16">
        <v>15</v>
      </c>
    </row>
    <row r="12" spans="2:21" x14ac:dyDescent="0.25">
      <c r="B12" s="3">
        <f t="shared" si="0"/>
        <v>2009</v>
      </c>
      <c r="C12" s="7">
        <v>38822.9</v>
      </c>
      <c r="D12" s="7">
        <v>4966.6139999999996</v>
      </c>
      <c r="E12" s="1"/>
      <c r="F12" s="7"/>
      <c r="G12" s="7"/>
      <c r="H12" s="7"/>
      <c r="I12" s="7"/>
      <c r="J12" s="7"/>
      <c r="K12" s="7"/>
    </row>
    <row r="13" spans="2:21" ht="15.6" thickBot="1" x14ac:dyDescent="0.3">
      <c r="B13" s="3">
        <f t="shared" si="0"/>
        <v>2010</v>
      </c>
      <c r="C13" s="7">
        <v>42251.7</v>
      </c>
      <c r="D13" s="7">
        <v>5131.17</v>
      </c>
      <c r="E13" s="1"/>
      <c r="F13" s="7"/>
      <c r="G13" s="7"/>
      <c r="H13" s="7"/>
      <c r="I13" s="7"/>
      <c r="J13" s="7"/>
      <c r="K13" s="7"/>
      <c r="M13" t="s">
        <v>91</v>
      </c>
    </row>
    <row r="14" spans="2:21" ht="15.6" x14ac:dyDescent="0.3">
      <c r="B14" s="3">
        <f t="shared" si="0"/>
        <v>2011</v>
      </c>
      <c r="C14" s="7">
        <v>43007.1</v>
      </c>
      <c r="D14" s="7">
        <v>5263.64</v>
      </c>
      <c r="E14" s="1"/>
      <c r="F14" s="7"/>
      <c r="G14" s="7"/>
      <c r="H14" s="7"/>
      <c r="I14" s="7"/>
      <c r="J14" s="7"/>
      <c r="K14" s="7"/>
      <c r="M14" s="17"/>
      <c r="N14" s="17" t="s">
        <v>92</v>
      </c>
      <c r="O14" s="17" t="s">
        <v>93</v>
      </c>
      <c r="P14" s="17" t="s">
        <v>94</v>
      </c>
      <c r="Q14" s="17" t="s">
        <v>95</v>
      </c>
      <c r="R14" s="17" t="s">
        <v>96</v>
      </c>
    </row>
    <row r="15" spans="2:21" x14ac:dyDescent="0.25">
      <c r="B15" s="3">
        <f t="shared" si="0"/>
        <v>2012</v>
      </c>
      <c r="C15" s="7">
        <v>44200.7</v>
      </c>
      <c r="D15" s="7">
        <v>5369.4690000000001</v>
      </c>
      <c r="E15" s="1"/>
      <c r="F15" s="7"/>
      <c r="G15" s="7"/>
      <c r="H15" s="7"/>
      <c r="I15" s="7"/>
      <c r="J15" s="7"/>
      <c r="K15" s="7"/>
      <c r="M15" t="s">
        <v>97</v>
      </c>
      <c r="N15">
        <v>1</v>
      </c>
      <c r="O15">
        <v>363936953.53396547</v>
      </c>
      <c r="P15">
        <v>363936953.53396547</v>
      </c>
      <c r="Q15">
        <v>218.11430444065007</v>
      </c>
      <c r="R15">
        <v>1.6720234419230514E-9</v>
      </c>
    </row>
    <row r="16" spans="2:21" x14ac:dyDescent="0.25">
      <c r="B16" s="3">
        <f t="shared" si="0"/>
        <v>2013</v>
      </c>
      <c r="C16" s="7">
        <v>44948.800000000003</v>
      </c>
      <c r="D16" s="7">
        <v>5453.732</v>
      </c>
      <c r="E16" s="1"/>
      <c r="F16" s="7"/>
      <c r="G16" s="7"/>
      <c r="H16" s="7"/>
      <c r="I16" s="7"/>
      <c r="J16" s="7"/>
      <c r="K16" s="7"/>
      <c r="M16" t="s">
        <v>98</v>
      </c>
      <c r="N16">
        <v>13</v>
      </c>
      <c r="O16">
        <v>21691288.923367828</v>
      </c>
      <c r="P16">
        <v>1668560.6864129098</v>
      </c>
    </row>
    <row r="17" spans="2:21" ht="15.6" thickBot="1" x14ac:dyDescent="0.3">
      <c r="B17" s="3">
        <f t="shared" si="0"/>
        <v>2014</v>
      </c>
      <c r="C17" s="7">
        <v>46403</v>
      </c>
      <c r="D17" s="7">
        <v>5525.6279999999997</v>
      </c>
      <c r="E17" s="1"/>
      <c r="F17" s="7"/>
      <c r="G17" s="7"/>
      <c r="H17" s="7"/>
      <c r="I17" s="7"/>
      <c r="J17" s="7"/>
      <c r="K17" s="7"/>
      <c r="M17" s="16" t="s">
        <v>99</v>
      </c>
      <c r="N17" s="16">
        <v>14</v>
      </c>
      <c r="O17" s="16">
        <v>385628242.45733333</v>
      </c>
      <c r="P17" s="16"/>
      <c r="Q17" s="16"/>
      <c r="R17" s="16"/>
    </row>
    <row r="18" spans="2:21" ht="15.6" thickBot="1" x14ac:dyDescent="0.3">
      <c r="B18" s="3">
        <f t="shared" si="0"/>
        <v>2015</v>
      </c>
      <c r="C18" s="7">
        <v>47513.9</v>
      </c>
      <c r="D18" s="7">
        <v>5592.143</v>
      </c>
      <c r="E18" s="1"/>
      <c r="F18" s="7"/>
      <c r="G18" s="7"/>
      <c r="H18" s="7"/>
      <c r="I18" s="7"/>
      <c r="J18" s="7"/>
      <c r="K18" s="7"/>
    </row>
    <row r="19" spans="2:21" ht="15.6" x14ac:dyDescent="0.3">
      <c r="B19" s="3">
        <f t="shared" si="0"/>
        <v>2016</v>
      </c>
      <c r="C19" s="7">
        <v>48626.6</v>
      </c>
      <c r="D19" s="7">
        <v>5653.625</v>
      </c>
      <c r="E19" s="1"/>
      <c r="F19" s="7"/>
      <c r="G19" s="7"/>
      <c r="H19" s="7"/>
      <c r="I19" s="7"/>
      <c r="J19" s="7"/>
      <c r="K19" s="7"/>
      <c r="M19" s="17"/>
      <c r="N19" s="17" t="s">
        <v>100</v>
      </c>
      <c r="O19" s="17" t="s">
        <v>89</v>
      </c>
      <c r="P19" s="17" t="s">
        <v>101</v>
      </c>
      <c r="Q19" s="17" t="s">
        <v>102</v>
      </c>
      <c r="R19" s="17" t="s">
        <v>103</v>
      </c>
      <c r="S19" s="17" t="s">
        <v>104</v>
      </c>
      <c r="T19" s="17" t="s">
        <v>105</v>
      </c>
      <c r="U19" s="17" t="s">
        <v>106</v>
      </c>
    </row>
    <row r="20" spans="2:21" x14ac:dyDescent="0.25">
      <c r="B20" s="3">
        <f t="shared" si="0"/>
        <v>2017</v>
      </c>
      <c r="C20" s="7">
        <v>49643.7</v>
      </c>
      <c r="D20" s="7">
        <v>5708.0420000000004</v>
      </c>
      <c r="E20" s="1"/>
      <c r="F20" s="7"/>
      <c r="G20" s="7"/>
      <c r="H20" s="7"/>
      <c r="I20" s="7"/>
      <c r="J20" s="7"/>
      <c r="K20" s="7"/>
      <c r="M20" t="s">
        <v>75</v>
      </c>
      <c r="N20">
        <v>-8441.4380588057393</v>
      </c>
      <c r="O20">
        <v>3553.7629610262079</v>
      </c>
      <c r="P20">
        <v>-2.3753520286474408</v>
      </c>
      <c r="Q20">
        <v>3.3598433826286203E-2</v>
      </c>
      <c r="R20">
        <v>-16118.876172305165</v>
      </c>
      <c r="S20">
        <v>-763.99994530631466</v>
      </c>
      <c r="T20">
        <v>-16118.876172305165</v>
      </c>
      <c r="U20">
        <v>-763.99994530631466</v>
      </c>
    </row>
    <row r="21" spans="2:21" ht="15.6" thickBot="1" x14ac:dyDescent="0.3">
      <c r="B21" s="3">
        <f t="shared" si="0"/>
        <v>2018</v>
      </c>
      <c r="C21" s="7">
        <v>50448.9</v>
      </c>
      <c r="D21" s="7">
        <v>5757.5029999999997</v>
      </c>
      <c r="E21" s="1"/>
      <c r="F21" s="7"/>
      <c r="G21" s="7"/>
      <c r="H21" s="7"/>
      <c r="I21" s="7"/>
      <c r="J21" s="7"/>
      <c r="K21" s="7"/>
      <c r="M21" s="16" t="s">
        <v>3</v>
      </c>
      <c r="N21" s="16">
        <v>10.016717549077049</v>
      </c>
      <c r="O21" s="16">
        <v>0.67823992852504533</v>
      </c>
      <c r="P21" s="16">
        <v>14.768693389756928</v>
      </c>
      <c r="Q21" s="16">
        <v>1.6720234419230514E-9</v>
      </c>
      <c r="R21" s="16">
        <v>8.5514692659299758</v>
      </c>
      <c r="S21" s="16">
        <v>11.481965832224121</v>
      </c>
      <c r="T21" s="16">
        <v>8.5514692659299758</v>
      </c>
      <c r="U21" s="16">
        <v>11.481965832224121</v>
      </c>
    </row>
    <row r="22" spans="2:21" x14ac:dyDescent="0.25">
      <c r="B22" s="3">
        <f t="shared" si="0"/>
        <v>2019</v>
      </c>
      <c r="C22" s="7">
        <v>51720</v>
      </c>
      <c r="D22" s="7">
        <v>5804.3429999999998</v>
      </c>
      <c r="E22" s="1"/>
      <c r="F22" s="14"/>
      <c r="G22" s="14"/>
      <c r="H22" s="14"/>
      <c r="I22" s="30">
        <f t="shared" ref="I22:K22" si="1">$C$22</f>
        <v>51720</v>
      </c>
      <c r="J22" s="30">
        <f>$C$22</f>
        <v>51720</v>
      </c>
      <c r="K22" s="30">
        <f t="shared" si="1"/>
        <v>51720</v>
      </c>
    </row>
    <row r="23" spans="2:21" x14ac:dyDescent="0.25">
      <c r="B23" s="3">
        <f t="shared" si="0"/>
        <v>2020</v>
      </c>
      <c r="C23" s="3"/>
      <c r="D23" s="3"/>
      <c r="E23" s="1"/>
      <c r="F23" s="14">
        <v>5850.3429999999998</v>
      </c>
      <c r="G23" s="5">
        <v>5850.3429999999998</v>
      </c>
      <c r="H23" s="14">
        <v>5850.3429999999998</v>
      </c>
      <c r="I23" s="11">
        <f t="shared" ref="I23:I53" si="2">$G$4+$J$4*F23</f>
        <v>50159.795337414325</v>
      </c>
      <c r="J23" s="11">
        <f t="shared" ref="J23:J53" si="3">$G$4+$J$4*G23</f>
        <v>50159.795337414325</v>
      </c>
      <c r="K23" s="11">
        <f t="shared" ref="K23:K53" si="4">$G$4+$J$4*H23</f>
        <v>50159.795337414325</v>
      </c>
    </row>
    <row r="24" spans="2:21" x14ac:dyDescent="0.25">
      <c r="B24" s="3">
        <f t="shared" si="0"/>
        <v>2021</v>
      </c>
      <c r="C24" s="3"/>
      <c r="D24" s="3"/>
      <c r="E24" s="1"/>
      <c r="F24" s="14">
        <v>5896.6840000000002</v>
      </c>
      <c r="G24" s="5">
        <v>5891.857</v>
      </c>
      <c r="H24" s="14">
        <v>5905.0680000000002</v>
      </c>
      <c r="I24" s="11">
        <f t="shared" si="2"/>
        <v>50623.980045356111</v>
      </c>
      <c r="J24" s="11">
        <f t="shared" si="3"/>
        <v>50575.629349746712</v>
      </c>
      <c r="K24" s="11">
        <f t="shared" si="4"/>
        <v>50707.960205287571</v>
      </c>
    </row>
    <row r="25" spans="2:21" x14ac:dyDescent="0.25">
      <c r="B25" s="3">
        <f t="shared" si="0"/>
        <v>2022</v>
      </c>
      <c r="C25" s="3"/>
      <c r="D25" s="3"/>
      <c r="E25" s="1"/>
      <c r="F25" s="14">
        <v>5943.5510000000004</v>
      </c>
      <c r="G25" s="5">
        <v>5930.357</v>
      </c>
      <c r="H25" s="14">
        <v>5960.8239999999996</v>
      </c>
      <c r="I25" s="11">
        <f t="shared" si="2"/>
        <v>51093.433546728709</v>
      </c>
      <c r="J25" s="11">
        <f t="shared" si="3"/>
        <v>50961.272975386179</v>
      </c>
      <c r="K25" s="11">
        <f t="shared" si="4"/>
        <v>51266.452308953907</v>
      </c>
      <c r="M25" t="s">
        <v>107</v>
      </c>
    </row>
    <row r="26" spans="2:21" ht="15.6" thickBot="1" x14ac:dyDescent="0.3">
      <c r="B26" s="3">
        <f t="shared" si="0"/>
        <v>2023</v>
      </c>
      <c r="C26" s="3"/>
      <c r="D26" s="3"/>
      <c r="E26" s="1"/>
      <c r="F26" s="14">
        <v>5990.2920000000004</v>
      </c>
      <c r="G26" s="5">
        <v>5965.9880000000003</v>
      </c>
      <c r="H26" s="14">
        <v>6017.0360000000001</v>
      </c>
      <c r="I26" s="11">
        <f t="shared" si="2"/>
        <v>51561.624941690119</v>
      </c>
      <c r="J26" s="11">
        <f t="shared" si="3"/>
        <v>51318.178638377343</v>
      </c>
      <c r="K26" s="11">
        <f t="shared" si="4"/>
        <v>51829.512035822627</v>
      </c>
    </row>
    <row r="27" spans="2:21" ht="15.6" x14ac:dyDescent="0.3">
      <c r="B27" s="3">
        <f t="shared" si="0"/>
        <v>2024</v>
      </c>
      <c r="C27" s="3"/>
      <c r="D27" s="3"/>
      <c r="E27" s="1"/>
      <c r="F27" s="14">
        <v>6035.6750000000002</v>
      </c>
      <c r="G27" s="5">
        <v>5998.8209999999999</v>
      </c>
      <c r="H27" s="14">
        <v>6073.12</v>
      </c>
      <c r="I27" s="11">
        <f t="shared" si="2"/>
        <v>52016.213634219879</v>
      </c>
      <c r="J27" s="11">
        <f t="shared" si="3"/>
        <v>51647.05752566619</v>
      </c>
      <c r="K27" s="11">
        <f t="shared" si="4"/>
        <v>52391.289622845063</v>
      </c>
      <c r="M27" s="17" t="s">
        <v>108</v>
      </c>
      <c r="N27" s="17" t="s">
        <v>109</v>
      </c>
      <c r="O27" s="17" t="s">
        <v>110</v>
      </c>
      <c r="P27" s="17" t="s">
        <v>111</v>
      </c>
    </row>
    <row r="28" spans="2:21" x14ac:dyDescent="0.25">
      <c r="B28" s="3">
        <f t="shared" si="0"/>
        <v>2025</v>
      </c>
      <c r="C28" s="3"/>
      <c r="D28" s="3"/>
      <c r="E28" s="1"/>
      <c r="F28" s="14">
        <v>6078.76</v>
      </c>
      <c r="G28" s="5">
        <v>6028.8909999999996</v>
      </c>
      <c r="H28" s="14">
        <v>6128.6329999999998</v>
      </c>
      <c r="I28" s="11">
        <f t="shared" si="2"/>
        <v>52447.783909821861</v>
      </c>
      <c r="J28" s="11">
        <f t="shared" si="3"/>
        <v>51948.260222366931</v>
      </c>
      <c r="K28" s="11">
        <f t="shared" si="4"/>
        <v>52947.347664146975</v>
      </c>
      <c r="M28">
        <v>1</v>
      </c>
      <c r="N28">
        <v>34286.803873269382</v>
      </c>
      <c r="O28">
        <v>1202.4961267306207</v>
      </c>
      <c r="P28">
        <v>0.9660620555453977</v>
      </c>
    </row>
    <row r="29" spans="2:21" x14ac:dyDescent="0.25">
      <c r="B29" s="3">
        <f t="shared" si="0"/>
        <v>2026</v>
      </c>
      <c r="C29" s="3"/>
      <c r="D29" s="3"/>
      <c r="E29" s="1"/>
      <c r="F29" s="14">
        <v>6119.5860000000002</v>
      </c>
      <c r="G29" s="5">
        <v>6056.2460000000001</v>
      </c>
      <c r="H29" s="14">
        <v>6183.2110000000002</v>
      </c>
      <c r="I29" s="11">
        <f t="shared" si="2"/>
        <v>52856.726420480481</v>
      </c>
      <c r="J29" s="11">
        <f t="shared" si="3"/>
        <v>52222.267530921941</v>
      </c>
      <c r="K29" s="11">
        <f t="shared" si="4"/>
        <v>53494.040074540513</v>
      </c>
      <c r="M29">
        <v>2</v>
      </c>
      <c r="N29">
        <v>35655.398008717326</v>
      </c>
      <c r="O29">
        <v>1146.401991282677</v>
      </c>
      <c r="P29">
        <v>0.92099711555077424</v>
      </c>
    </row>
    <row r="30" spans="2:21" x14ac:dyDescent="0.25">
      <c r="B30" s="3">
        <f t="shared" si="0"/>
        <v>2027</v>
      </c>
      <c r="C30" s="3"/>
      <c r="D30" s="3"/>
      <c r="E30" s="1"/>
      <c r="F30" s="14">
        <v>6158.5330000000004</v>
      </c>
      <c r="G30" s="5">
        <v>6080.8329999999996</v>
      </c>
      <c r="H30" s="14">
        <v>6236.5609999999997</v>
      </c>
      <c r="I30" s="11">
        <f t="shared" si="2"/>
        <v>53246.847518864386</v>
      </c>
      <c r="J30" s="11">
        <f t="shared" si="3"/>
        <v>52468.548565301091</v>
      </c>
      <c r="K30" s="11">
        <f t="shared" si="4"/>
        <v>54028.431955783766</v>
      </c>
      <c r="M30">
        <v>3</v>
      </c>
      <c r="N30">
        <v>37421.395396207357</v>
      </c>
      <c r="O30">
        <v>883.50460379264405</v>
      </c>
      <c r="P30">
        <v>0.70979045557869536</v>
      </c>
    </row>
    <row r="31" spans="2:21" x14ac:dyDescent="0.25">
      <c r="B31" s="3">
        <f t="shared" si="0"/>
        <v>2028</v>
      </c>
      <c r="C31" s="3"/>
      <c r="D31" s="3"/>
      <c r="E31" s="1"/>
      <c r="F31" s="14">
        <v>6195.4430000000002</v>
      </c>
      <c r="G31" s="5">
        <v>6102.625</v>
      </c>
      <c r="H31" s="14">
        <v>6288.47</v>
      </c>
      <c r="I31" s="11">
        <f t="shared" si="2"/>
        <v>53616.564563600819</v>
      </c>
      <c r="J31" s="11">
        <f t="shared" si="3"/>
        <v>52686.832874130581</v>
      </c>
      <c r="K31" s="11">
        <f t="shared" si="4"/>
        <v>54548.389747038811</v>
      </c>
      <c r="M31">
        <v>4</v>
      </c>
      <c r="N31">
        <v>39396.501779251921</v>
      </c>
      <c r="O31">
        <v>-409.60177925191965</v>
      </c>
      <c r="P31">
        <v>-0.32906612173047384</v>
      </c>
    </row>
    <row r="32" spans="2:21" x14ac:dyDescent="0.25">
      <c r="B32" s="3">
        <f t="shared" si="0"/>
        <v>2029</v>
      </c>
      <c r="C32" s="3"/>
      <c r="D32" s="3"/>
      <c r="E32" s="1"/>
      <c r="F32" s="14">
        <v>6230.1319999999996</v>
      </c>
      <c r="G32" s="5">
        <v>6121.5450000000001</v>
      </c>
      <c r="H32" s="14">
        <v>6338.7979999999998</v>
      </c>
      <c r="I32" s="11">
        <f t="shared" si="2"/>
        <v>53964.034478660746</v>
      </c>
      <c r="J32" s="11">
        <f t="shared" si="3"/>
        <v>52876.349170159119</v>
      </c>
      <c r="K32" s="11">
        <f t="shared" si="4"/>
        <v>55052.511107848753</v>
      </c>
      <c r="M32">
        <v>5</v>
      </c>
      <c r="N32">
        <v>41307.73155448601</v>
      </c>
      <c r="O32">
        <v>-2484.8315544860088</v>
      </c>
      <c r="P32">
        <v>-1.9962654563697999</v>
      </c>
    </row>
    <row r="33" spans="2:16" x14ac:dyDescent="0.25">
      <c r="B33" s="3">
        <f t="shared" si="0"/>
        <v>2030</v>
      </c>
      <c r="C33" s="3"/>
      <c r="D33" s="3"/>
      <c r="E33" s="1"/>
      <c r="F33" s="14">
        <v>6262.4650000000001</v>
      </c>
      <c r="G33" s="5">
        <v>6137.5249999999996</v>
      </c>
      <c r="H33" s="14">
        <v>6387.4080000000004</v>
      </c>
      <c r="I33" s="11">
        <f t="shared" si="2"/>
        <v>54287.905007175061</v>
      </c>
      <c r="J33" s="11">
        <f t="shared" si="3"/>
        <v>53036.416316593371</v>
      </c>
      <c r="K33" s="11">
        <f t="shared" si="4"/>
        <v>55539.423747909394</v>
      </c>
      <c r="M33">
        <v>6</v>
      </c>
      <c r="N33">
        <v>42956.04252749194</v>
      </c>
      <c r="O33">
        <v>-704.34252749194275</v>
      </c>
      <c r="P33">
        <v>-0.56585511985548087</v>
      </c>
    </row>
    <row r="34" spans="2:16" x14ac:dyDescent="0.25">
      <c r="B34" s="3">
        <f t="shared" si="0"/>
        <v>2031</v>
      </c>
      <c r="C34" s="3"/>
      <c r="D34" s="3"/>
      <c r="E34" s="1"/>
      <c r="F34" s="14">
        <v>6292.3630000000003</v>
      </c>
      <c r="G34" s="5">
        <v>6150.5709999999999</v>
      </c>
      <c r="H34" s="14">
        <v>6434.1469999999999</v>
      </c>
      <c r="I34" s="11">
        <f t="shared" si="2"/>
        <v>54587.384828457369</v>
      </c>
      <c r="J34" s="11">
        <f t="shared" si="3"/>
        <v>53167.094413738632</v>
      </c>
      <c r="K34" s="11">
        <f t="shared" si="4"/>
        <v>56007.595109435708</v>
      </c>
      <c r="M34">
        <v>7</v>
      </c>
      <c r="N34">
        <v>44282.957101218177</v>
      </c>
      <c r="O34">
        <v>-1275.8571012181783</v>
      </c>
      <c r="P34">
        <v>-1.024998838986813</v>
      </c>
    </row>
    <row r="35" spans="2:16" x14ac:dyDescent="0.25">
      <c r="B35" s="3">
        <f t="shared" si="0"/>
        <v>2032</v>
      </c>
      <c r="C35" s="3"/>
      <c r="D35" s="3"/>
      <c r="E35" s="1"/>
      <c r="F35" s="14">
        <v>6319.7690000000002</v>
      </c>
      <c r="G35" s="5">
        <v>6160.7579999999998</v>
      </c>
      <c r="H35" s="14">
        <v>6478.7749999999996</v>
      </c>
      <c r="I35" s="11">
        <f t="shared" si="2"/>
        <v>54861.90298960737</v>
      </c>
      <c r="J35" s="11">
        <f t="shared" si="3"/>
        <v>53269.134715411077</v>
      </c>
      <c r="K35" s="11">
        <f t="shared" si="4"/>
        <v>56454.621180215916</v>
      </c>
      <c r="M35">
        <v>8</v>
      </c>
      <c r="N35">
        <v>45343.01630271945</v>
      </c>
      <c r="O35">
        <v>-1142.3163027194532</v>
      </c>
      <c r="P35">
        <v>-0.917714752635862</v>
      </c>
    </row>
    <row r="36" spans="2:16" x14ac:dyDescent="0.25">
      <c r="B36" s="3">
        <f t="shared" si="0"/>
        <v>2033</v>
      </c>
      <c r="C36" s="3"/>
      <c r="D36" s="3"/>
      <c r="E36" s="1"/>
      <c r="F36" s="14">
        <v>6344.6260000000002</v>
      </c>
      <c r="G36" s="5">
        <v>6168.27</v>
      </c>
      <c r="H36" s="14">
        <v>6520.9880000000003</v>
      </c>
      <c r="I36" s="11">
        <f t="shared" si="2"/>
        <v>55110.888537724779</v>
      </c>
      <c r="J36" s="11">
        <f t="shared" si="3"/>
        <v>53344.380297639749</v>
      </c>
      <c r="K36" s="11">
        <f t="shared" si="4"/>
        <v>56877.45687811511</v>
      </c>
      <c r="M36">
        <v>9</v>
      </c>
      <c r="N36">
        <v>46187.05497355733</v>
      </c>
      <c r="O36">
        <v>-1238.2549735573266</v>
      </c>
      <c r="P36">
        <v>-0.99479001923810662</v>
      </c>
    </row>
    <row r="37" spans="2:16" x14ac:dyDescent="0.25">
      <c r="B37" s="3">
        <f t="shared" si="0"/>
        <v>2034</v>
      </c>
      <c r="C37" s="3"/>
      <c r="D37" s="3"/>
      <c r="E37" s="1"/>
      <c r="F37" s="14">
        <v>6366.8680000000004</v>
      </c>
      <c r="G37" s="5">
        <v>6173.3379999999997</v>
      </c>
      <c r="H37" s="14">
        <v>6560.3990000000003</v>
      </c>
      <c r="I37" s="11">
        <f t="shared" si="2"/>
        <v>55333.680369451358</v>
      </c>
      <c r="J37" s="11">
        <f t="shared" si="3"/>
        <v>53395.145022178469</v>
      </c>
      <c r="K37" s="11">
        <f t="shared" si="4"/>
        <v>57272.225733441781</v>
      </c>
      <c r="M37">
        <v>10</v>
      </c>
      <c r="N37">
        <v>46907.216898465769</v>
      </c>
      <c r="O37">
        <v>-504.21689846576919</v>
      </c>
      <c r="P37">
        <v>-0.40507807263955176</v>
      </c>
    </row>
    <row r="38" spans="2:16" x14ac:dyDescent="0.25">
      <c r="B38" s="3">
        <f t="shared" si="0"/>
        <v>2035</v>
      </c>
      <c r="C38" s="3"/>
      <c r="D38" s="3"/>
      <c r="E38" s="1"/>
      <c r="F38" s="14">
        <v>6386.4539999999997</v>
      </c>
      <c r="G38" s="5">
        <v>6176.116</v>
      </c>
      <c r="H38" s="14">
        <v>6596.8</v>
      </c>
      <c r="I38" s="11">
        <f t="shared" si="2"/>
        <v>55529.867799367574</v>
      </c>
      <c r="J38" s="11">
        <f t="shared" si="3"/>
        <v>53422.971463529808</v>
      </c>
      <c r="K38" s="11">
        <f t="shared" si="4"/>
        <v>57636.84426894573</v>
      </c>
      <c r="M38">
        <v>11</v>
      </c>
      <c r="N38">
        <v>47573.478866242636</v>
      </c>
      <c r="O38">
        <v>-59.578866242634831</v>
      </c>
      <c r="P38">
        <v>-4.7864505098998804E-2</v>
      </c>
    </row>
    <row r="39" spans="2:16" x14ac:dyDescent="0.25">
      <c r="B39" s="3">
        <f t="shared" si="0"/>
        <v>2036</v>
      </c>
      <c r="C39" s="3"/>
      <c r="D39" s="3"/>
      <c r="E39" s="1"/>
      <c r="F39" s="14">
        <v>6403.3940000000002</v>
      </c>
      <c r="G39" s="5">
        <v>6176.74</v>
      </c>
      <c r="H39" s="14">
        <v>6630.06</v>
      </c>
      <c r="I39" s="11">
        <f t="shared" si="2"/>
        <v>55699.55099464894</v>
      </c>
      <c r="J39" s="11">
        <f t="shared" si="3"/>
        <v>53429.221895280425</v>
      </c>
      <c r="K39" s="11">
        <f t="shared" si="4"/>
        <v>57970.000294628044</v>
      </c>
      <c r="M39">
        <v>12</v>
      </c>
      <c r="N39">
        <v>48189.326694594987</v>
      </c>
      <c r="O39">
        <v>437.27330540501134</v>
      </c>
      <c r="P39">
        <v>0.35129688891657262</v>
      </c>
    </row>
    <row r="40" spans="2:16" x14ac:dyDescent="0.25">
      <c r="B40" s="3">
        <f t="shared" si="0"/>
        <v>2037</v>
      </c>
      <c r="C40" s="3"/>
      <c r="D40" s="3"/>
      <c r="E40" s="1"/>
      <c r="F40" s="14">
        <v>6417.6949999999997</v>
      </c>
      <c r="G40" s="5">
        <v>6175.183</v>
      </c>
      <c r="H40" s="14">
        <v>6660.2280000000001</v>
      </c>
      <c r="I40" s="11">
        <f t="shared" si="2"/>
        <v>55842.800072318285</v>
      </c>
      <c r="J40" s="11">
        <f t="shared" si="3"/>
        <v>53413.625866056514</v>
      </c>
      <c r="K40" s="11">
        <f t="shared" si="4"/>
        <v>58272.184629648589</v>
      </c>
      <c r="M40">
        <v>13</v>
      </c>
      <c r="N40">
        <v>48734.406413463119</v>
      </c>
      <c r="O40">
        <v>909.29358653687814</v>
      </c>
      <c r="P40">
        <v>0.7305088239181059</v>
      </c>
    </row>
    <row r="41" spans="2:16" x14ac:dyDescent="0.25">
      <c r="B41" s="3">
        <f t="shared" si="0"/>
        <v>2038</v>
      </c>
      <c r="C41" s="3"/>
      <c r="D41" s="3"/>
      <c r="E41" s="1"/>
      <c r="F41" s="14">
        <v>6429.4110000000001</v>
      </c>
      <c r="G41" s="5">
        <v>6171.42</v>
      </c>
      <c r="H41" s="14">
        <v>6687.4769999999999</v>
      </c>
      <c r="I41" s="11">
        <f t="shared" si="2"/>
        <v>55960.155935123279</v>
      </c>
      <c r="J41" s="11">
        <f t="shared" si="3"/>
        <v>53375.932957919344</v>
      </c>
      <c r="K41" s="11">
        <f t="shared" si="4"/>
        <v>58545.130166143397</v>
      </c>
      <c r="M41">
        <v>14</v>
      </c>
      <c r="N41">
        <v>49229.843280158013</v>
      </c>
      <c r="O41">
        <v>1219.0567198419885</v>
      </c>
      <c r="P41">
        <v>0.97936651471710101</v>
      </c>
    </row>
    <row r="42" spans="2:16" ht="15.6" thickBot="1" x14ac:dyDescent="0.3">
      <c r="B42" s="3">
        <f t="shared" si="0"/>
        <v>2039</v>
      </c>
      <c r="C42" s="3"/>
      <c r="D42" s="3"/>
      <c r="E42" s="1"/>
      <c r="F42" s="14">
        <v>6438.6469999999999</v>
      </c>
      <c r="G42" s="5">
        <v>6165.3620000000001</v>
      </c>
      <c r="H42" s="14">
        <v>6712.0529999999999</v>
      </c>
      <c r="I42" s="11">
        <f t="shared" si="2"/>
        <v>56052.670338406555</v>
      </c>
      <c r="J42" s="11">
        <f t="shared" si="3"/>
        <v>53315.251683007031</v>
      </c>
      <c r="K42" s="11">
        <f t="shared" si="4"/>
        <v>58791.301016629513</v>
      </c>
      <c r="M42" s="16">
        <v>15</v>
      </c>
      <c r="N42" s="16">
        <v>49699.026330156783</v>
      </c>
      <c r="O42" s="16">
        <v>2020.9736698432171</v>
      </c>
      <c r="P42" s="16">
        <v>1.6236110323282822</v>
      </c>
    </row>
    <row r="43" spans="2:16" x14ac:dyDescent="0.25">
      <c r="B43" s="3">
        <f t="shared" si="0"/>
        <v>2040</v>
      </c>
      <c r="C43" s="3"/>
      <c r="D43" s="3"/>
      <c r="E43" s="1"/>
      <c r="F43" s="14">
        <v>6445.4889999999996</v>
      </c>
      <c r="G43" s="5">
        <v>6156.9709999999995</v>
      </c>
      <c r="H43" s="14">
        <v>6734.18</v>
      </c>
      <c r="I43" s="11">
        <f t="shared" si="2"/>
        <v>56121.204719877336</v>
      </c>
      <c r="J43" s="11">
        <f t="shared" si="3"/>
        <v>53231.201406052722</v>
      </c>
      <c r="K43" s="11">
        <f t="shared" si="4"/>
        <v>59012.940925837946</v>
      </c>
    </row>
    <row r="44" spans="2:16" x14ac:dyDescent="0.25">
      <c r="B44" s="3">
        <f t="shared" si="0"/>
        <v>2041</v>
      </c>
      <c r="C44" s="3"/>
      <c r="D44" s="3"/>
      <c r="E44" s="1"/>
      <c r="F44" s="14">
        <v>6450.0029999999997</v>
      </c>
      <c r="G44" s="5">
        <v>6146.2979999999998</v>
      </c>
      <c r="H44" s="14">
        <v>6753.9769999999999</v>
      </c>
      <c r="I44" s="11">
        <f t="shared" si="2"/>
        <v>56166.420182893868</v>
      </c>
      <c r="J44" s="11">
        <f t="shared" si="3"/>
        <v>53124.292979651422</v>
      </c>
      <c r="K44" s="11">
        <f t="shared" si="4"/>
        <v>59211.24188315701</v>
      </c>
    </row>
    <row r="45" spans="2:16" x14ac:dyDescent="0.25">
      <c r="B45" s="3">
        <f t="shared" si="0"/>
        <v>2042</v>
      </c>
      <c r="C45" s="3"/>
      <c r="D45" s="3"/>
      <c r="E45" s="1"/>
      <c r="F45" s="14">
        <v>6452.27</v>
      </c>
      <c r="G45" s="5">
        <v>6133.415</v>
      </c>
      <c r="H45" s="14">
        <v>6771.5360000000001</v>
      </c>
      <c r="I45" s="11">
        <f t="shared" si="2"/>
        <v>56189.128081577634</v>
      </c>
      <c r="J45" s="11">
        <f t="shared" si="3"/>
        <v>52995.247607466663</v>
      </c>
      <c r="K45" s="11">
        <f t="shared" si="4"/>
        <v>59387.125426601269</v>
      </c>
    </row>
    <row r="46" spans="2:16" x14ac:dyDescent="0.25">
      <c r="B46" s="3">
        <f t="shared" si="0"/>
        <v>2043</v>
      </c>
      <c r="C46" s="3"/>
      <c r="D46" s="3"/>
      <c r="E46" s="1"/>
      <c r="F46" s="14">
        <v>6452.433</v>
      </c>
      <c r="G46" s="5">
        <v>6118.4110000000001</v>
      </c>
      <c r="H46" s="14">
        <v>6787.1279999999997</v>
      </c>
      <c r="I46" s="11">
        <f t="shared" si="2"/>
        <v>56190.760806538128</v>
      </c>
      <c r="J46" s="11">
        <f t="shared" si="3"/>
        <v>52844.956777360312</v>
      </c>
      <c r="K46" s="11">
        <f t="shared" si="4"/>
        <v>59543.306086626471</v>
      </c>
    </row>
    <row r="47" spans="2:16" x14ac:dyDescent="0.25">
      <c r="B47" s="3">
        <f t="shared" si="0"/>
        <v>2044</v>
      </c>
      <c r="C47" s="3"/>
      <c r="D47" s="3"/>
      <c r="E47" s="1"/>
      <c r="F47" s="14">
        <v>6450.6790000000001</v>
      </c>
      <c r="G47" s="5">
        <v>6101.3779999999997</v>
      </c>
      <c r="H47" s="14">
        <v>6801.01</v>
      </c>
      <c r="I47" s="11">
        <f t="shared" si="2"/>
        <v>56173.191483957045</v>
      </c>
      <c r="J47" s="11">
        <f t="shared" si="3"/>
        <v>52674.34202734688</v>
      </c>
      <c r="K47" s="11">
        <f t="shared" si="4"/>
        <v>59682.358159642754</v>
      </c>
    </row>
    <row r="48" spans="2:16" x14ac:dyDescent="0.25">
      <c r="B48" s="3">
        <f t="shared" si="0"/>
        <v>2045</v>
      </c>
      <c r="C48" s="3"/>
      <c r="D48" s="3"/>
      <c r="E48" s="1"/>
      <c r="F48" s="14">
        <v>6447.1750000000002</v>
      </c>
      <c r="G48" s="5">
        <v>6082.4089999999997</v>
      </c>
      <c r="H48" s="14">
        <v>6813.4859999999999</v>
      </c>
      <c r="I48" s="11">
        <f t="shared" si="2"/>
        <v>56138.092905665086</v>
      </c>
      <c r="J48" s="11">
        <f t="shared" si="3"/>
        <v>52484.33491215844</v>
      </c>
      <c r="K48" s="11">
        <f t="shared" si="4"/>
        <v>59807.326727785039</v>
      </c>
    </row>
    <row r="49" spans="2:11" x14ac:dyDescent="0.25">
      <c r="B49" s="3">
        <f t="shared" si="0"/>
        <v>2046</v>
      </c>
      <c r="C49" s="3"/>
      <c r="D49" s="3"/>
      <c r="E49" s="1"/>
      <c r="F49" s="14">
        <v>6442.0249999999996</v>
      </c>
      <c r="G49" s="5">
        <v>6061.5889999999999</v>
      </c>
      <c r="H49" s="14">
        <v>6824.7070000000003</v>
      </c>
      <c r="I49" s="11">
        <f t="shared" si="2"/>
        <v>56086.506810287334</v>
      </c>
      <c r="J49" s="11">
        <f t="shared" si="3"/>
        <v>52275.786852786659</v>
      </c>
      <c r="K49" s="11">
        <f t="shared" si="4"/>
        <v>59919.724315403248</v>
      </c>
    </row>
    <row r="50" spans="2:11" x14ac:dyDescent="0.25">
      <c r="B50" s="3">
        <f t="shared" si="0"/>
        <v>2047</v>
      </c>
      <c r="C50" s="3"/>
      <c r="D50" s="3"/>
      <c r="E50" s="1"/>
      <c r="F50" s="14">
        <v>6435.317</v>
      </c>
      <c r="G50" s="5">
        <v>6038.9859999999999</v>
      </c>
      <c r="H50" s="14">
        <v>6834.8580000000002</v>
      </c>
      <c r="I50" s="11">
        <f t="shared" si="2"/>
        <v>56019.314668968123</v>
      </c>
      <c r="J50" s="11">
        <f t="shared" si="3"/>
        <v>52049.378986024865</v>
      </c>
      <c r="K50" s="11">
        <f t="shared" si="4"/>
        <v>60021.404015243927</v>
      </c>
    </row>
    <row r="51" spans="2:11" x14ac:dyDescent="0.25">
      <c r="B51" s="3">
        <f t="shared" si="0"/>
        <v>2048</v>
      </c>
      <c r="C51" s="3"/>
      <c r="D51" s="3"/>
      <c r="E51" s="1"/>
      <c r="F51" s="14">
        <v>6427.2510000000002</v>
      </c>
      <c r="G51" s="5">
        <v>6014.6750000000002</v>
      </c>
      <c r="H51" s="14">
        <v>6844.2129999999997</v>
      </c>
      <c r="I51" s="11">
        <f t="shared" si="2"/>
        <v>55938.51982521727</v>
      </c>
      <c r="J51" s="11">
        <f t="shared" si="3"/>
        <v>51805.862565689262</v>
      </c>
      <c r="K51" s="11">
        <f t="shared" si="4"/>
        <v>60115.110407915534</v>
      </c>
    </row>
    <row r="52" spans="2:11" x14ac:dyDescent="0.25">
      <c r="B52" s="3">
        <f t="shared" si="0"/>
        <v>2049</v>
      </c>
      <c r="C52" s="3"/>
      <c r="D52" s="3"/>
      <c r="E52" s="1"/>
      <c r="F52" s="14">
        <v>6417.9309999999996</v>
      </c>
      <c r="G52" s="5">
        <v>5988.7489999999998</v>
      </c>
      <c r="H52" s="14">
        <v>6853.0680000000002</v>
      </c>
      <c r="I52" s="11">
        <f t="shared" si="2"/>
        <v>55845.164017659867</v>
      </c>
      <c r="J52" s="11">
        <f t="shared" si="3"/>
        <v>51546.169146511886</v>
      </c>
      <c r="K52" s="11">
        <f t="shared" si="4"/>
        <v>60203.808441812609</v>
      </c>
    </row>
    <row r="53" spans="2:11" x14ac:dyDescent="0.25">
      <c r="B53" s="3">
        <f t="shared" si="0"/>
        <v>2050</v>
      </c>
      <c r="C53" s="3"/>
      <c r="D53" s="3"/>
      <c r="E53" s="1"/>
      <c r="F53" s="14">
        <v>6407.5280000000002</v>
      </c>
      <c r="G53" s="5">
        <v>5961.2910000000002</v>
      </c>
      <c r="H53" s="14">
        <v>6861.6980000000003</v>
      </c>
      <c r="I53" s="11">
        <f t="shared" si="2"/>
        <v>55740.960104996826</v>
      </c>
      <c r="J53" s="11">
        <f t="shared" si="3"/>
        <v>51271.130116049331</v>
      </c>
      <c r="K53" s="11">
        <f t="shared" si="4"/>
        <v>60290.252714261151</v>
      </c>
    </row>
    <row r="54" spans="2:11" x14ac:dyDescent="0.25"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2:11" x14ac:dyDescent="0.25">
      <c r="B55" s="15" t="s">
        <v>30</v>
      </c>
      <c r="F55" s="15" t="s">
        <v>30</v>
      </c>
    </row>
    <row r="56" spans="2:11" x14ac:dyDescent="0.25">
      <c r="B56" s="1" t="s">
        <v>191</v>
      </c>
      <c r="F56" s="1" t="s">
        <v>112</v>
      </c>
    </row>
    <row r="57" spans="2:11" x14ac:dyDescent="0.25">
      <c r="B57" s="1" t="s">
        <v>192</v>
      </c>
      <c r="F57" s="1" t="s">
        <v>113</v>
      </c>
    </row>
  </sheetData>
  <conditionalFormatting sqref="C8:D53 F8:K53">
    <cfRule type="expression" dxfId="23" priority="1">
      <formula>ISBLANK(C8)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EB63D-5854-4332-BE99-D2BEE7571A51}">
  <sheetPr codeName="Sheet5"/>
  <dimension ref="B1:Y58"/>
  <sheetViews>
    <sheetView showGridLines="0" zoomScale="80" zoomScaleNormal="80" workbookViewId="0">
      <pane xSplit="1" ySplit="7" topLeftCell="F8" activePane="bottomRight" state="frozen"/>
      <selection pane="topRight" activeCell="B1" sqref="B1"/>
      <selection pane="bottomLeft" activeCell="A8" sqref="A8"/>
      <selection pane="bottomRight" activeCell="X23" sqref="X23"/>
    </sheetView>
  </sheetViews>
  <sheetFormatPr defaultColWidth="8.7265625" defaultRowHeight="15" x14ac:dyDescent="0.25"/>
  <cols>
    <col min="1" max="1" width="2.7265625" customWidth="1"/>
    <col min="2" max="2" width="8.7265625" customWidth="1"/>
    <col min="3" max="3" width="13.54296875" customWidth="1"/>
    <col min="4" max="4" width="2" customWidth="1"/>
    <col min="5" max="5" width="12.26953125" customWidth="1"/>
    <col min="6" max="7" width="13.7265625" customWidth="1"/>
    <col min="8" max="8" width="2.7265625" style="1" customWidth="1"/>
    <col min="9" max="9" width="10.54296875" style="1" customWidth="1"/>
    <col min="10" max="11" width="10.7265625" style="1" customWidth="1"/>
    <col min="12" max="12" width="2" customWidth="1"/>
    <col min="13" max="16" width="10.26953125" customWidth="1"/>
    <col min="17" max="17" width="10.7265625" style="1" customWidth="1"/>
    <col min="18" max="18" width="10.453125" style="1" customWidth="1"/>
    <col min="19" max="19" width="2" customWidth="1"/>
    <col min="20" max="21" width="12.7265625" customWidth="1"/>
    <col min="22" max="22" width="10.453125" style="1" customWidth="1"/>
    <col min="23" max="23" width="11.26953125" style="1" customWidth="1"/>
    <col min="24" max="24" width="12.54296875" style="1" customWidth="1"/>
    <col min="25" max="25" width="8.7265625" style="1"/>
  </cols>
  <sheetData>
    <row r="1" spans="2:25" ht="22.8" x14ac:dyDescent="0.4">
      <c r="B1" s="6" t="s">
        <v>33</v>
      </c>
    </row>
    <row r="2" spans="2:25" ht="15.6" x14ac:dyDescent="0.3">
      <c r="B2" s="48" t="s">
        <v>34</v>
      </c>
      <c r="C2" s="59"/>
      <c r="E2" s="48" t="s">
        <v>35</v>
      </c>
      <c r="F2" s="49"/>
      <c r="G2" s="49"/>
      <c r="H2" s="49"/>
      <c r="I2" s="49"/>
      <c r="J2" s="49"/>
      <c r="K2" s="49"/>
      <c r="L2" s="43"/>
      <c r="M2" s="48" t="s">
        <v>36</v>
      </c>
      <c r="N2" s="48"/>
      <c r="O2" s="48"/>
      <c r="P2" s="48"/>
      <c r="Q2" s="48"/>
      <c r="R2" s="48"/>
      <c r="S2" s="43"/>
      <c r="T2" s="48" t="s">
        <v>2</v>
      </c>
      <c r="U2" s="48"/>
      <c r="V2" s="48"/>
      <c r="W2" s="48"/>
      <c r="X2" s="48"/>
    </row>
    <row r="3" spans="2:25" ht="16.2" customHeight="1" x14ac:dyDescent="0.25">
      <c r="B3" s="2"/>
      <c r="C3" s="1"/>
      <c r="D3" s="54"/>
      <c r="E3" s="1" t="s">
        <v>37</v>
      </c>
      <c r="F3" s="45">
        <v>2000</v>
      </c>
      <c r="G3" s="54" t="s">
        <v>39</v>
      </c>
    </row>
    <row r="4" spans="2:25" x14ac:dyDescent="0.25">
      <c r="B4" s="1" t="s">
        <v>7</v>
      </c>
      <c r="C4" s="72" t="str">
        <f>Main!$N$4</f>
        <v>Base</v>
      </c>
      <c r="E4" s="1" t="s">
        <v>38</v>
      </c>
      <c r="F4" s="70">
        <f>($F$3-$G$23)/($B$33-$B$23)</f>
        <v>157.23817725999999</v>
      </c>
      <c r="G4" s="54" t="s">
        <v>39</v>
      </c>
      <c r="I4" s="1" t="s">
        <v>40</v>
      </c>
      <c r="J4" s="45">
        <v>1500</v>
      </c>
      <c r="K4" s="54" t="s">
        <v>41</v>
      </c>
      <c r="U4" s="1" t="s">
        <v>42</v>
      </c>
      <c r="V4" s="45">
        <v>40</v>
      </c>
    </row>
    <row r="5" spans="2:25" ht="12.45" customHeight="1" x14ac:dyDescent="0.25">
      <c r="B5" s="2"/>
      <c r="C5" s="1"/>
      <c r="E5" s="1"/>
      <c r="F5" s="99"/>
      <c r="G5" s="1"/>
      <c r="J5" s="54"/>
      <c r="K5" s="54"/>
    </row>
    <row r="6" spans="2:25" x14ac:dyDescent="0.25">
      <c r="B6" s="22"/>
      <c r="C6" s="23" t="s">
        <v>43</v>
      </c>
      <c r="E6" s="31" t="s">
        <v>39</v>
      </c>
      <c r="F6" s="31" t="s">
        <v>14</v>
      </c>
      <c r="G6" s="31" t="s">
        <v>39</v>
      </c>
      <c r="I6" s="31" t="s">
        <v>43</v>
      </c>
      <c r="J6" s="78" t="s">
        <v>43</v>
      </c>
      <c r="K6" s="80" t="s">
        <v>14</v>
      </c>
      <c r="M6" s="31" t="s">
        <v>14</v>
      </c>
      <c r="N6" s="31" t="s">
        <v>14</v>
      </c>
      <c r="O6" s="31" t="s">
        <v>14</v>
      </c>
      <c r="P6" s="31" t="s">
        <v>14</v>
      </c>
      <c r="Q6" s="23" t="s">
        <v>43</v>
      </c>
      <c r="R6" s="23" t="s">
        <v>43</v>
      </c>
      <c r="T6" s="31" t="s">
        <v>13</v>
      </c>
      <c r="U6" s="31" t="s">
        <v>44</v>
      </c>
      <c r="V6" s="31" t="s">
        <v>13</v>
      </c>
      <c r="W6" s="31" t="s">
        <v>13</v>
      </c>
      <c r="X6" s="67" t="s">
        <v>13</v>
      </c>
    </row>
    <row r="7" spans="2:25" s="35" customFormat="1" ht="38.700000000000003" customHeight="1" x14ac:dyDescent="0.25">
      <c r="B7" s="32" t="s">
        <v>15</v>
      </c>
      <c r="C7" s="32" t="s">
        <v>45</v>
      </c>
      <c r="E7" s="51" t="s">
        <v>46</v>
      </c>
      <c r="F7" s="109" t="s">
        <v>47</v>
      </c>
      <c r="G7" s="109" t="s">
        <v>48</v>
      </c>
      <c r="I7" s="109" t="s">
        <v>49</v>
      </c>
      <c r="J7" s="110" t="s">
        <v>50</v>
      </c>
      <c r="K7" s="111" t="s">
        <v>51</v>
      </c>
      <c r="M7" s="63" t="s">
        <v>52</v>
      </c>
      <c r="N7" s="63" t="s">
        <v>53</v>
      </c>
      <c r="O7" s="112" t="s">
        <v>54</v>
      </c>
      <c r="P7" s="112" t="s">
        <v>55</v>
      </c>
      <c r="Q7" s="112" t="s">
        <v>56</v>
      </c>
      <c r="R7" s="112" t="s">
        <v>57</v>
      </c>
      <c r="T7" s="51" t="s">
        <v>58</v>
      </c>
      <c r="U7" s="108" t="s">
        <v>59</v>
      </c>
      <c r="V7" s="112" t="s">
        <v>60</v>
      </c>
      <c r="W7" s="112" t="s">
        <v>61</v>
      </c>
      <c r="X7" s="111" t="s">
        <v>62</v>
      </c>
      <c r="Y7" s="33"/>
    </row>
    <row r="8" spans="2:25" x14ac:dyDescent="0.25">
      <c r="B8" s="3">
        <v>2005</v>
      </c>
      <c r="C8" s="7">
        <f>'0. Electricity'!C8</f>
        <v>35489.300000000003</v>
      </c>
      <c r="E8" s="45"/>
      <c r="F8" s="45"/>
      <c r="G8" s="45"/>
      <c r="I8" s="45"/>
      <c r="J8" s="66"/>
      <c r="K8" s="45"/>
      <c r="M8" s="7"/>
      <c r="N8" s="60"/>
      <c r="O8" s="7"/>
      <c r="P8" s="60"/>
      <c r="Q8" s="45"/>
      <c r="R8" s="45"/>
      <c r="T8" s="7">
        <f>INDEX(Main!$C:$C,MATCH('1. Power'!$B8,Main!$B:$B,0))</f>
        <v>19691361</v>
      </c>
      <c r="U8" s="60"/>
      <c r="V8" s="45"/>
      <c r="W8" s="66"/>
      <c r="X8" s="45"/>
    </row>
    <row r="9" spans="2:25" x14ac:dyDescent="0.25">
      <c r="B9" s="3">
        <f>B8+1</f>
        <v>2006</v>
      </c>
      <c r="C9" s="7">
        <f>'0. Electricity'!C9</f>
        <v>36801.800000000003</v>
      </c>
      <c r="E9" s="45"/>
      <c r="F9" s="45"/>
      <c r="G9" s="45"/>
      <c r="I9" s="45"/>
      <c r="J9" s="66"/>
      <c r="K9" s="45"/>
      <c r="M9" s="7"/>
      <c r="N9" s="60"/>
      <c r="O9" s="7"/>
      <c r="P9" s="60"/>
      <c r="Q9" s="45"/>
      <c r="R9" s="45"/>
      <c r="T9" s="7">
        <f>INDEX(Main!$C:$C,MATCH('1. Power'!$B9,Main!$B:$B,0))</f>
        <v>19872131</v>
      </c>
      <c r="U9" s="60"/>
      <c r="V9" s="45"/>
      <c r="W9" s="66"/>
      <c r="X9" s="45"/>
    </row>
    <row r="10" spans="2:25" x14ac:dyDescent="0.25">
      <c r="B10" s="3">
        <f t="shared" ref="B10:B53" si="0">B9+1</f>
        <v>2007</v>
      </c>
      <c r="C10" s="7">
        <f>'0. Electricity'!C10</f>
        <v>38304.9</v>
      </c>
      <c r="E10" s="45"/>
      <c r="F10" s="45"/>
      <c r="G10" s="45"/>
      <c r="I10" s="45"/>
      <c r="J10" s="66"/>
      <c r="K10" s="45"/>
      <c r="M10" s="7"/>
      <c r="N10" s="60"/>
      <c r="O10" s="7"/>
      <c r="P10" s="60"/>
      <c r="Q10" s="45"/>
      <c r="R10" s="45"/>
      <c r="T10" s="7">
        <f>INDEX(Main!$C:$C,MATCH('1. Power'!$B10,Main!$B:$B,0))</f>
        <v>20324023</v>
      </c>
      <c r="U10" s="60"/>
      <c r="V10" s="45"/>
      <c r="W10" s="66"/>
      <c r="X10" s="45"/>
    </row>
    <row r="11" spans="2:25" x14ac:dyDescent="0.25">
      <c r="B11" s="3">
        <f t="shared" si="0"/>
        <v>2008</v>
      </c>
      <c r="C11" s="7">
        <f>'0. Electricity'!C11</f>
        <v>38986.9</v>
      </c>
      <c r="E11" s="55">
        <v>0.361925</v>
      </c>
      <c r="F11" s="45"/>
      <c r="G11" s="45"/>
      <c r="I11" s="57">
        <f t="shared" ref="I11:I23" si="1">$E11*$J$4/1000</f>
        <v>0.54288750000000008</v>
      </c>
      <c r="J11" s="66"/>
      <c r="K11" s="45"/>
      <c r="M11" s="7"/>
      <c r="N11" s="60"/>
      <c r="O11" s="7"/>
      <c r="P11" s="60"/>
      <c r="Q11" s="45"/>
      <c r="R11" s="45"/>
      <c r="T11" s="7">
        <f>INDEX(Main!$C:$C,MATCH('1. Power'!$B11,Main!$B:$B,0))</f>
        <v>19886009</v>
      </c>
      <c r="U11" s="60"/>
      <c r="V11" s="45"/>
      <c r="W11" s="66"/>
      <c r="X11" s="45"/>
    </row>
    <row r="12" spans="2:25" x14ac:dyDescent="0.25">
      <c r="B12" s="3">
        <f t="shared" si="0"/>
        <v>2009</v>
      </c>
      <c r="C12" s="7">
        <f>'0. Electricity'!C12</f>
        <v>38822.9</v>
      </c>
      <c r="E12" s="55">
        <v>1.9425240000000004</v>
      </c>
      <c r="F12" s="56">
        <f>E12/E11-1</f>
        <v>4.3672003868204747</v>
      </c>
      <c r="G12" s="45"/>
      <c r="I12" s="57">
        <f t="shared" si="1"/>
        <v>2.9137860000000004</v>
      </c>
      <c r="J12" s="66"/>
      <c r="K12" s="56">
        <f>IF(ISBLANK($I12),$Q12/$J12,$Q12/$I12)</f>
        <v>0</v>
      </c>
      <c r="M12" s="52">
        <v>0</v>
      </c>
      <c r="N12" s="61">
        <v>0.99999166666666661</v>
      </c>
      <c r="O12" s="52"/>
      <c r="P12" s="61"/>
      <c r="Q12" s="62">
        <f>IF(ISBLANK(M12),MIN(O12*$C12,J12),M12*$C12)</f>
        <v>0</v>
      </c>
      <c r="R12" s="62">
        <f>IF(ISBLANK(N12),P12*$C12,N12*$C12)</f>
        <v>38822.576475833332</v>
      </c>
      <c r="T12" s="7">
        <f>INDEX(Main!$C:$C,MATCH('1. Power'!$B12,Main!$B:$B,0))</f>
        <v>19679416</v>
      </c>
      <c r="U12" s="60">
        <f>T12/R12</f>
        <v>506.9064906665904</v>
      </c>
      <c r="V12" s="57"/>
      <c r="W12" s="79"/>
      <c r="X12" s="57"/>
    </row>
    <row r="13" spans="2:25" x14ac:dyDescent="0.25">
      <c r="B13" s="3">
        <f t="shared" si="0"/>
        <v>2010</v>
      </c>
      <c r="C13" s="7">
        <f>'0. Electricity'!C13</f>
        <v>42251.7</v>
      </c>
      <c r="E13" s="55">
        <v>3.7991090000000005</v>
      </c>
      <c r="F13" s="56">
        <f t="shared" ref="F13:F23" si="2">E13/E12-1</f>
        <v>0.95575910516420892</v>
      </c>
      <c r="G13" s="45"/>
      <c r="I13" s="57">
        <f t="shared" si="1"/>
        <v>5.6986635000000003</v>
      </c>
      <c r="J13" s="66"/>
      <c r="K13" s="56">
        <f t="shared" ref="K13:K53" si="3">IF(ISBLANK($I13),$Q13/$J13,$Q13/$I13)</f>
        <v>0</v>
      </c>
      <c r="M13" s="52">
        <v>0</v>
      </c>
      <c r="N13" s="61">
        <v>1.0000083333333334</v>
      </c>
      <c r="O13" s="52"/>
      <c r="P13" s="61"/>
      <c r="Q13" s="62">
        <f t="shared" ref="Q13:Q53" si="4">IF(ISBLANK(M13),MIN(O13*$C13,J13),M13*$C13)</f>
        <v>0</v>
      </c>
      <c r="R13" s="62">
        <f t="shared" ref="R13:R53" si="5">IF(ISBLANK(N13),P13*$C13,N13*$C13)</f>
        <v>42252.052097499996</v>
      </c>
      <c r="T13" s="7">
        <f>INDEX(Main!$C:$C,MATCH('1. Power'!$B13,Main!$B:$B,0))</f>
        <v>22009572</v>
      </c>
      <c r="U13" s="60">
        <f t="shared" ref="U13:U22" si="6">T13/R13</f>
        <v>520.91131453712944</v>
      </c>
      <c r="V13" s="57"/>
      <c r="W13" s="79"/>
      <c r="X13" s="57"/>
    </row>
    <row r="14" spans="2:25" x14ac:dyDescent="0.25">
      <c r="B14" s="3">
        <f t="shared" si="0"/>
        <v>2011</v>
      </c>
      <c r="C14" s="7">
        <f>'0. Electricity'!C14</f>
        <v>43007.1</v>
      </c>
      <c r="E14" s="55">
        <v>5.9288274000000003</v>
      </c>
      <c r="F14" s="56">
        <f t="shared" si="2"/>
        <v>0.56058365264065846</v>
      </c>
      <c r="G14" s="45"/>
      <c r="I14" s="57">
        <f t="shared" si="1"/>
        <v>8.8932411000000009</v>
      </c>
      <c r="J14" s="66"/>
      <c r="K14" s="56">
        <f t="shared" si="3"/>
        <v>0</v>
      </c>
      <c r="M14" s="52">
        <v>0</v>
      </c>
      <c r="N14" s="61">
        <v>0.99999166666666672</v>
      </c>
      <c r="O14" s="52"/>
      <c r="P14" s="61"/>
      <c r="Q14" s="62">
        <f t="shared" si="4"/>
        <v>0</v>
      </c>
      <c r="R14" s="62">
        <f t="shared" si="5"/>
        <v>43006.7416075</v>
      </c>
      <c r="T14" s="7">
        <f>INDEX(Main!$C:$C,MATCH('1. Power'!$B14,Main!$B:$B,0))</f>
        <v>22447510</v>
      </c>
      <c r="U14" s="60">
        <f t="shared" si="6"/>
        <v>521.95328362391797</v>
      </c>
      <c r="V14" s="57"/>
      <c r="W14" s="79"/>
      <c r="X14" s="57"/>
    </row>
    <row r="15" spans="2:25" x14ac:dyDescent="0.25">
      <c r="B15" s="3">
        <f t="shared" si="0"/>
        <v>2012</v>
      </c>
      <c r="C15" s="7">
        <f>'0. Electricity'!C15</f>
        <v>44200.7</v>
      </c>
      <c r="E15" s="55">
        <v>10.060113400000002</v>
      </c>
      <c r="F15" s="56">
        <f t="shared" si="2"/>
        <v>0.69681333614130869</v>
      </c>
      <c r="G15" s="45"/>
      <c r="I15" s="57">
        <f t="shared" si="1"/>
        <v>15.090170100000003</v>
      </c>
      <c r="J15" s="66"/>
      <c r="K15" s="56">
        <f t="shared" si="3"/>
        <v>0</v>
      </c>
      <c r="M15" s="52">
        <v>0</v>
      </c>
      <c r="N15" s="61">
        <v>0.99999999999999989</v>
      </c>
      <c r="O15" s="52"/>
      <c r="P15" s="61"/>
      <c r="Q15" s="62">
        <f t="shared" si="4"/>
        <v>0</v>
      </c>
      <c r="R15" s="62">
        <f t="shared" si="5"/>
        <v>44200.69999999999</v>
      </c>
      <c r="T15" s="7">
        <f>INDEX(Main!$C:$C,MATCH('1. Power'!$B15,Main!$B:$B,0))</f>
        <v>22007099</v>
      </c>
      <c r="U15" s="60">
        <f t="shared" si="6"/>
        <v>497.89028228059749</v>
      </c>
      <c r="V15" s="57"/>
      <c r="W15" s="79"/>
      <c r="X15" s="57"/>
    </row>
    <row r="16" spans="2:25" x14ac:dyDescent="0.25">
      <c r="B16" s="3">
        <f t="shared" si="0"/>
        <v>2013</v>
      </c>
      <c r="C16" s="7">
        <f>'0. Electricity'!C16</f>
        <v>44948.800000000003</v>
      </c>
      <c r="E16" s="55">
        <v>15.267622400000002</v>
      </c>
      <c r="F16" s="56">
        <f t="shared" si="2"/>
        <v>0.51763919480271459</v>
      </c>
      <c r="G16" s="45"/>
      <c r="I16" s="57">
        <f t="shared" si="1"/>
        <v>22.901433600000004</v>
      </c>
      <c r="J16" s="66"/>
      <c r="K16" s="56">
        <f t="shared" si="3"/>
        <v>0</v>
      </c>
      <c r="M16" s="52">
        <v>0</v>
      </c>
      <c r="N16" s="61">
        <v>0.9999916666666665</v>
      </c>
      <c r="O16" s="52"/>
      <c r="P16" s="61"/>
      <c r="Q16" s="62">
        <f t="shared" si="4"/>
        <v>0</v>
      </c>
      <c r="R16" s="62">
        <f t="shared" si="5"/>
        <v>44948.425426666661</v>
      </c>
      <c r="T16" s="7">
        <f>INDEX(Main!$C:$C,MATCH('1. Power'!$B16,Main!$B:$B,0))</f>
        <v>21851501</v>
      </c>
      <c r="U16" s="60">
        <f t="shared" si="6"/>
        <v>486.14608393014157</v>
      </c>
      <c r="V16" s="57"/>
      <c r="W16" s="79"/>
      <c r="X16" s="57"/>
    </row>
    <row r="17" spans="2:24" x14ac:dyDescent="0.25">
      <c r="B17" s="3">
        <f t="shared" si="0"/>
        <v>2014</v>
      </c>
      <c r="C17" s="7">
        <f>'0. Electricity'!C17</f>
        <v>46403</v>
      </c>
      <c r="E17" s="55">
        <v>32.8934104</v>
      </c>
      <c r="F17" s="56">
        <f t="shared" si="2"/>
        <v>1.1544553263250732</v>
      </c>
      <c r="G17" s="45"/>
      <c r="I17" s="57">
        <f t="shared" si="1"/>
        <v>49.340115599999997</v>
      </c>
      <c r="J17" s="66"/>
      <c r="K17" s="56">
        <f t="shared" si="3"/>
        <v>0</v>
      </c>
      <c r="M17" s="52">
        <v>0</v>
      </c>
      <c r="N17" s="61">
        <v>1.0000166666666668</v>
      </c>
      <c r="O17" s="52"/>
      <c r="P17" s="61"/>
      <c r="Q17" s="62">
        <f t="shared" si="4"/>
        <v>0</v>
      </c>
      <c r="R17" s="62">
        <f t="shared" si="5"/>
        <v>46403.77338333334</v>
      </c>
      <c r="T17" s="7">
        <f>INDEX(Main!$C:$C,MATCH('1. Power'!$B17,Main!$B:$B,0))</f>
        <v>21772693</v>
      </c>
      <c r="U17" s="60">
        <f t="shared" si="6"/>
        <v>469.20091648883044</v>
      </c>
      <c r="V17" s="57"/>
      <c r="W17" s="79"/>
      <c r="X17" s="57"/>
    </row>
    <row r="18" spans="2:24" x14ac:dyDescent="0.25">
      <c r="B18" s="3">
        <f t="shared" si="0"/>
        <v>2015</v>
      </c>
      <c r="C18" s="7">
        <f>'0. Electricity'!C18</f>
        <v>47513.9</v>
      </c>
      <c r="E18" s="55">
        <v>59.333113399999995</v>
      </c>
      <c r="F18" s="56">
        <f t="shared" si="2"/>
        <v>0.80379938347773128</v>
      </c>
      <c r="G18" s="45"/>
      <c r="I18" s="57">
        <f t="shared" si="1"/>
        <v>88.999670099999989</v>
      </c>
      <c r="J18" s="66"/>
      <c r="K18" s="56">
        <f t="shared" si="3"/>
        <v>0</v>
      </c>
      <c r="M18" s="52">
        <v>0</v>
      </c>
      <c r="N18" s="61">
        <v>1</v>
      </c>
      <c r="O18" s="52"/>
      <c r="P18" s="61"/>
      <c r="Q18" s="62">
        <f t="shared" si="4"/>
        <v>0</v>
      </c>
      <c r="R18" s="62">
        <f t="shared" si="5"/>
        <v>47513.9</v>
      </c>
      <c r="T18" s="7">
        <f>INDEX(Main!$C:$C,MATCH('1. Power'!$B18,Main!$B:$B,0))</f>
        <v>21937171</v>
      </c>
      <c r="U18" s="60">
        <f t="shared" si="6"/>
        <v>461.70007092661302</v>
      </c>
      <c r="V18" s="57"/>
      <c r="W18" s="79"/>
      <c r="X18" s="57"/>
    </row>
    <row r="19" spans="2:24" x14ac:dyDescent="0.25">
      <c r="B19" s="3">
        <f t="shared" si="0"/>
        <v>2016</v>
      </c>
      <c r="C19" s="7">
        <f>'0. Electricity'!C19</f>
        <v>48626.6</v>
      </c>
      <c r="E19" s="55">
        <v>125.51162239999996</v>
      </c>
      <c r="F19" s="56">
        <f t="shared" si="2"/>
        <v>1.1153722636102215</v>
      </c>
      <c r="G19" s="45"/>
      <c r="I19" s="57">
        <f t="shared" si="1"/>
        <v>188.26743359999995</v>
      </c>
      <c r="J19" s="66"/>
      <c r="K19" s="56">
        <f t="shared" si="3"/>
        <v>0.44123638421268985</v>
      </c>
      <c r="M19" s="52">
        <v>1.7083333333333332E-3</v>
      </c>
      <c r="N19" s="61">
        <v>0.99829166666666636</v>
      </c>
      <c r="O19" s="52"/>
      <c r="P19" s="61"/>
      <c r="Q19" s="62">
        <f t="shared" si="4"/>
        <v>83.070441666666653</v>
      </c>
      <c r="R19" s="62">
        <f t="shared" si="5"/>
        <v>48543.529558333314</v>
      </c>
      <c r="T19" s="7">
        <f>INDEX(Main!$C:$C,MATCH('1. Power'!$B19,Main!$B:$B,0))</f>
        <v>22450593</v>
      </c>
      <c r="U19" s="60">
        <f t="shared" si="6"/>
        <v>462.48373787945911</v>
      </c>
      <c r="V19" s="57"/>
      <c r="W19" s="79"/>
      <c r="X19" s="57"/>
    </row>
    <row r="20" spans="2:24" x14ac:dyDescent="0.25">
      <c r="B20" s="3">
        <f t="shared" si="0"/>
        <v>2017</v>
      </c>
      <c r="C20" s="7">
        <f>'0. Electricity'!C20</f>
        <v>49643.7</v>
      </c>
      <c r="E20" s="55">
        <v>153.12009839999996</v>
      </c>
      <c r="F20" s="56">
        <f t="shared" si="2"/>
        <v>0.21996748565653146</v>
      </c>
      <c r="G20" s="45"/>
      <c r="I20" s="57">
        <f t="shared" si="1"/>
        <v>229.68014759999994</v>
      </c>
      <c r="J20" s="66"/>
      <c r="K20" s="56">
        <f t="shared" si="3"/>
        <v>0.50793547556915619</v>
      </c>
      <c r="M20" s="52">
        <v>2.3499999999999997E-3</v>
      </c>
      <c r="N20" s="61">
        <v>0.99765000000000004</v>
      </c>
      <c r="O20" s="52"/>
      <c r="P20" s="61"/>
      <c r="Q20" s="62">
        <f t="shared" si="4"/>
        <v>116.66269499999997</v>
      </c>
      <c r="R20" s="62">
        <f t="shared" si="5"/>
        <v>49527.037304999998</v>
      </c>
      <c r="T20" s="7">
        <f>INDEX(Main!$C:$C,MATCH('1. Power'!$B20,Main!$B:$B,0))</f>
        <v>22850066</v>
      </c>
      <c r="U20" s="60">
        <f t="shared" si="6"/>
        <v>461.36549334222286</v>
      </c>
      <c r="V20" s="57"/>
      <c r="W20" s="79"/>
      <c r="X20" s="57"/>
    </row>
    <row r="21" spans="2:24" x14ac:dyDescent="0.25">
      <c r="B21" s="3">
        <f t="shared" si="0"/>
        <v>2018</v>
      </c>
      <c r="C21" s="7">
        <f>'0. Electricity'!C21</f>
        <v>50448.9</v>
      </c>
      <c r="E21" s="55">
        <v>208.20295339999998</v>
      </c>
      <c r="F21" s="56">
        <f t="shared" si="2"/>
        <v>0.35973628266686153</v>
      </c>
      <c r="G21" s="45"/>
      <c r="I21" s="57">
        <f t="shared" si="1"/>
        <v>312.30443009999999</v>
      </c>
      <c r="J21" s="66"/>
      <c r="K21" s="56">
        <f t="shared" si="3"/>
        <v>0.41326696024988602</v>
      </c>
      <c r="M21" s="52">
        <v>2.558333333333333E-3</v>
      </c>
      <c r="N21" s="61">
        <v>0.99744166666666667</v>
      </c>
      <c r="O21" s="52"/>
      <c r="P21" s="61"/>
      <c r="Q21" s="62">
        <f t="shared" si="4"/>
        <v>129.06510249999999</v>
      </c>
      <c r="R21" s="62">
        <f t="shared" si="5"/>
        <v>50319.834897500004</v>
      </c>
      <c r="T21" s="7">
        <f>INDEX(Main!$C:$C,MATCH('1. Power'!$B21,Main!$B:$B,0))</f>
        <v>22316140</v>
      </c>
      <c r="U21" s="60">
        <f t="shared" si="6"/>
        <v>443.48595430524182</v>
      </c>
      <c r="V21" s="57"/>
      <c r="W21" s="79"/>
      <c r="X21" s="57"/>
    </row>
    <row r="22" spans="2:24" x14ac:dyDescent="0.25">
      <c r="B22" s="3">
        <f t="shared" si="0"/>
        <v>2019</v>
      </c>
      <c r="C22" s="7">
        <f>'0. Electricity'!C22</f>
        <v>51720</v>
      </c>
      <c r="E22" s="55">
        <v>353.11555039999996</v>
      </c>
      <c r="F22" s="56">
        <f t="shared" si="2"/>
        <v>0.69601604892507729</v>
      </c>
      <c r="G22" s="45"/>
      <c r="I22" s="57">
        <f t="shared" si="1"/>
        <v>529.6733256</v>
      </c>
      <c r="J22" s="66"/>
      <c r="K22" s="56">
        <f t="shared" si="3"/>
        <v>0.35070861797613623</v>
      </c>
      <c r="M22" s="52">
        <v>3.5916666666666671E-3</v>
      </c>
      <c r="N22" s="61">
        <v>0.99640833333333334</v>
      </c>
      <c r="O22" s="52"/>
      <c r="P22" s="61"/>
      <c r="Q22" s="62">
        <f t="shared" si="4"/>
        <v>185.76100000000002</v>
      </c>
      <c r="R22" s="62">
        <f t="shared" si="5"/>
        <v>51534.239000000001</v>
      </c>
      <c r="T22" s="7">
        <f>INDEX(Main!$C:$C,MATCH('1. Power'!$B22,Main!$B:$B,0))</f>
        <v>23239007</v>
      </c>
      <c r="U22" s="60">
        <f t="shared" si="6"/>
        <v>450.94305166706738</v>
      </c>
      <c r="V22" s="46">
        <f t="shared" ref="V22:V53" si="7">Q22*V$4</f>
        <v>7430.4400000000005</v>
      </c>
      <c r="W22" s="103">
        <f t="shared" ref="W22:W53" si="8">R22*$U22</f>
        <v>23239007</v>
      </c>
      <c r="X22" s="46">
        <f t="shared" ref="X22:X53" si="9">SUM(V22:W22)</f>
        <v>23246437.440000001</v>
      </c>
    </row>
    <row r="23" spans="2:24" x14ac:dyDescent="0.25">
      <c r="B23" s="3">
        <f t="shared" si="0"/>
        <v>2020</v>
      </c>
      <c r="C23" s="71">
        <f>INDEX('0. Electricity'!$I23:$K23,MATCH(Main!$N$4,'0. Electricity'!I$2:K$2,0))</f>
        <v>50159.795337414325</v>
      </c>
      <c r="E23" s="55">
        <v>427.61822740000002</v>
      </c>
      <c r="F23" s="56">
        <f t="shared" si="2"/>
        <v>0.21098667820096106</v>
      </c>
      <c r="G23" s="96">
        <f>E23</f>
        <v>427.61822740000002</v>
      </c>
      <c r="H23" s="100"/>
      <c r="I23" s="57">
        <f t="shared" si="1"/>
        <v>641.42734110000004</v>
      </c>
      <c r="J23" s="98">
        <f t="shared" ref="J23:J53" si="10">$G23*$J$4/1000</f>
        <v>641.42734110000004</v>
      </c>
      <c r="K23" s="56">
        <f t="shared" si="3"/>
        <v>0.43466320275496584</v>
      </c>
      <c r="M23" s="52">
        <v>5.5583333333333327E-3</v>
      </c>
      <c r="N23" s="61">
        <v>0.99443664844053614</v>
      </c>
      <c r="O23" s="52"/>
      <c r="P23" s="61"/>
      <c r="Q23" s="62">
        <f t="shared" si="4"/>
        <v>278.80486241712794</v>
      </c>
      <c r="R23" s="62">
        <f t="shared" si="5"/>
        <v>49880.738761801535</v>
      </c>
      <c r="T23" s="7"/>
      <c r="U23" s="65">
        <f>$U$22</f>
        <v>450.94305166706738</v>
      </c>
      <c r="V23" s="47">
        <f t="shared" si="7"/>
        <v>11152.194496685117</v>
      </c>
      <c r="W23" s="69">
        <f t="shared" si="8"/>
        <v>22493372.556654561</v>
      </c>
      <c r="X23" s="47">
        <f t="shared" si="9"/>
        <v>22504524.751151245</v>
      </c>
    </row>
    <row r="24" spans="2:24" x14ac:dyDescent="0.25">
      <c r="B24" s="3">
        <f t="shared" si="0"/>
        <v>2021</v>
      </c>
      <c r="C24" s="71">
        <f>INDEX('0. Electricity'!$I24:$K24,MATCH(Main!$N$4,'0. Electricity'!I$2:K$2,0))</f>
        <v>50623.980045356111</v>
      </c>
      <c r="E24" s="55"/>
      <c r="F24" s="56"/>
      <c r="G24" s="97">
        <f>G23+$F$4</f>
        <v>584.85640465999995</v>
      </c>
      <c r="H24" s="100"/>
      <c r="I24" s="57"/>
      <c r="J24" s="79">
        <f t="shared" si="10"/>
        <v>877.28460698999993</v>
      </c>
      <c r="K24" s="56">
        <f t="shared" si="3"/>
        <v>0.33675857054911934</v>
      </c>
      <c r="M24" s="52"/>
      <c r="N24" s="61"/>
      <c r="O24" s="52" cm="1">
        <f t="array" ref="O24:O53">TREND($M$19:$M$23,$B$19:$B$23,$B$24:$B$53)</f>
        <v>5.8358333333334844E-3</v>
      </c>
      <c r="P24" s="61">
        <f>1-O24</f>
        <v>0.99416416666666652</v>
      </c>
      <c r="Q24" s="62">
        <f t="shared" si="4"/>
        <v>295.43311021469833</v>
      </c>
      <c r="R24" s="62">
        <f t="shared" si="5"/>
        <v>50328.546935141414</v>
      </c>
      <c r="T24" s="7"/>
      <c r="U24" s="65">
        <f t="shared" ref="U24:U53" si="11">$U$22</f>
        <v>450.94305166706738</v>
      </c>
      <c r="V24" s="47">
        <f t="shared" si="7"/>
        <v>11817.324408587934</v>
      </c>
      <c r="W24" s="69">
        <f t="shared" si="8"/>
        <v>22695308.540901899</v>
      </c>
      <c r="X24" s="47">
        <f t="shared" si="9"/>
        <v>22707125.865310486</v>
      </c>
    </row>
    <row r="25" spans="2:24" x14ac:dyDescent="0.25">
      <c r="B25" s="3">
        <f t="shared" si="0"/>
        <v>2022</v>
      </c>
      <c r="C25" s="71">
        <f>INDEX('0. Electricity'!$I25:$K25,MATCH(Main!$N$4,'0. Electricity'!I$2:K$2,0))</f>
        <v>51093.433546728709</v>
      </c>
      <c r="E25" s="45"/>
      <c r="F25" s="45"/>
      <c r="G25" s="55">
        <f>G24+$F$4</f>
        <v>742.09458191999988</v>
      </c>
      <c r="H25" s="100"/>
      <c r="I25" s="45"/>
      <c r="J25" s="79">
        <f t="shared" si="10"/>
        <v>1113.1418728799999</v>
      </c>
      <c r="K25" s="56">
        <f t="shared" si="3"/>
        <v>0.30890833967087644</v>
      </c>
      <c r="M25" s="52"/>
      <c r="N25" s="60"/>
      <c r="O25" s="52">
        <v>6.7300000000001248E-3</v>
      </c>
      <c r="P25" s="64">
        <f>1-O25</f>
        <v>0.99326999999999988</v>
      </c>
      <c r="Q25" s="62">
        <f t="shared" si="4"/>
        <v>343.85880776949057</v>
      </c>
      <c r="R25" s="62">
        <f t="shared" si="5"/>
        <v>50749.574738959222</v>
      </c>
      <c r="T25" s="7"/>
      <c r="U25" s="65">
        <f t="shared" si="11"/>
        <v>450.94305166706738</v>
      </c>
      <c r="V25" s="47">
        <f t="shared" si="7"/>
        <v>13754.352310779623</v>
      </c>
      <c r="W25" s="69">
        <f t="shared" si="8"/>
        <v>22885168.103592187</v>
      </c>
      <c r="X25" s="47">
        <f t="shared" si="9"/>
        <v>22898922.455902968</v>
      </c>
    </row>
    <row r="26" spans="2:24" x14ac:dyDescent="0.25">
      <c r="B26" s="3">
        <f t="shared" si="0"/>
        <v>2023</v>
      </c>
      <c r="C26" s="71">
        <f>INDEX('0. Electricity'!$I26:$K26,MATCH(Main!$N$4,'0. Electricity'!I$2:K$2,0))</f>
        <v>51561.624941690119</v>
      </c>
      <c r="E26" s="45"/>
      <c r="F26" s="45"/>
      <c r="G26" s="55">
        <f t="shared" ref="G26:G53" si="12">G25+$F$4</f>
        <v>899.33275917999981</v>
      </c>
      <c r="H26" s="100"/>
      <c r="I26" s="45"/>
      <c r="J26" s="79">
        <f t="shared" si="10"/>
        <v>1348.9991387699997</v>
      </c>
      <c r="K26" s="56">
        <f t="shared" si="3"/>
        <v>0.29141191484973389</v>
      </c>
      <c r="M26" s="52"/>
      <c r="N26" s="60"/>
      <c r="O26" s="52">
        <v>7.6241666666667651E-3</v>
      </c>
      <c r="P26" s="64">
        <f t="shared" ref="P26:P53" si="13">1-O26</f>
        <v>0.99237583333333323</v>
      </c>
      <c r="Q26" s="62">
        <f t="shared" si="4"/>
        <v>393.1144221596075</v>
      </c>
      <c r="R26" s="62">
        <f t="shared" si="5"/>
        <v>51168.510519530515</v>
      </c>
      <c r="T26" s="7"/>
      <c r="U26" s="65">
        <f t="shared" si="11"/>
        <v>450.94305166706738</v>
      </c>
      <c r="V26" s="47">
        <f t="shared" si="7"/>
        <v>15724.5768863843</v>
      </c>
      <c r="W26" s="69">
        <f t="shared" si="8"/>
        <v>23074084.28293553</v>
      </c>
      <c r="X26" s="47">
        <f t="shared" si="9"/>
        <v>23089808.859821916</v>
      </c>
    </row>
    <row r="27" spans="2:24" x14ac:dyDescent="0.25">
      <c r="B27" s="3">
        <f t="shared" si="0"/>
        <v>2024</v>
      </c>
      <c r="C27" s="71">
        <f>INDEX('0. Electricity'!$I27:$K27,MATCH(Main!$N$4,'0. Electricity'!I$2:K$2,0))</f>
        <v>52016.213634219879</v>
      </c>
      <c r="E27" s="45"/>
      <c r="F27" s="45"/>
      <c r="G27" s="55">
        <f t="shared" si="12"/>
        <v>1056.5709364399997</v>
      </c>
      <c r="H27" s="100"/>
      <c r="I27" s="45"/>
      <c r="J27" s="79">
        <f t="shared" si="10"/>
        <v>1584.8564046599995</v>
      </c>
      <c r="K27" s="56">
        <f t="shared" si="3"/>
        <v>0.27957829187005967</v>
      </c>
      <c r="M27" s="52"/>
      <c r="N27" s="60"/>
      <c r="O27" s="52">
        <v>8.5183333333334055E-3</v>
      </c>
      <c r="P27" s="64">
        <f t="shared" si="13"/>
        <v>0.99148166666666659</v>
      </c>
      <c r="Q27" s="62">
        <f t="shared" si="4"/>
        <v>443.09144647416673</v>
      </c>
      <c r="R27" s="62">
        <f t="shared" si="5"/>
        <v>51573.122187745714</v>
      </c>
      <c r="T27" s="7"/>
      <c r="U27" s="65">
        <f t="shared" si="11"/>
        <v>450.94305166706738</v>
      </c>
      <c r="V27" s="47">
        <f t="shared" si="7"/>
        <v>17723.657858966668</v>
      </c>
      <c r="W27" s="69">
        <f t="shared" si="8"/>
        <v>23256541.103340596</v>
      </c>
      <c r="X27" s="47">
        <f t="shared" si="9"/>
        <v>23274264.761199564</v>
      </c>
    </row>
    <row r="28" spans="2:24" x14ac:dyDescent="0.25">
      <c r="B28" s="3">
        <f t="shared" si="0"/>
        <v>2025</v>
      </c>
      <c r="C28" s="71">
        <f>INDEX('0. Electricity'!$I28:$K28,MATCH(Main!$N$4,'0. Electricity'!I$2:K$2,0))</f>
        <v>52447.783909821861</v>
      </c>
      <c r="E28" s="45"/>
      <c r="F28" s="45"/>
      <c r="G28" s="55">
        <f t="shared" si="12"/>
        <v>1213.8091136999997</v>
      </c>
      <c r="H28" s="100"/>
      <c r="I28" s="45"/>
      <c r="J28" s="79">
        <f t="shared" si="10"/>
        <v>1820.7136705499995</v>
      </c>
      <c r="K28" s="56">
        <f t="shared" si="3"/>
        <v>0.2711380564864298</v>
      </c>
      <c r="M28" s="52"/>
      <c r="N28" s="60"/>
      <c r="O28" s="52">
        <v>9.4125000000000458E-3</v>
      </c>
      <c r="P28" s="64">
        <f t="shared" si="13"/>
        <v>0.99058749999999995</v>
      </c>
      <c r="Q28" s="62">
        <f t="shared" si="4"/>
        <v>493.66476605120067</v>
      </c>
      <c r="R28" s="62">
        <f t="shared" si="5"/>
        <v>51954.119143770658</v>
      </c>
      <c r="T28" s="7"/>
      <c r="U28" s="65">
        <f t="shared" si="11"/>
        <v>450.94305166706738</v>
      </c>
      <c r="V28" s="47">
        <f t="shared" si="7"/>
        <v>19746.590642048028</v>
      </c>
      <c r="W28" s="69">
        <f t="shared" si="8"/>
        <v>23428349.033366345</v>
      </c>
      <c r="X28" s="47">
        <f t="shared" si="9"/>
        <v>23448095.624008391</v>
      </c>
    </row>
    <row r="29" spans="2:24" x14ac:dyDescent="0.25">
      <c r="B29" s="3">
        <f t="shared" si="0"/>
        <v>2026</v>
      </c>
      <c r="C29" s="71">
        <f>INDEX('0. Electricity'!$I29:$K29,MATCH(Main!$N$4,'0. Electricity'!I$2:K$2,0))</f>
        <v>52856.726420480481</v>
      </c>
      <c r="E29" s="45"/>
      <c r="F29" s="45"/>
      <c r="G29" s="55">
        <f t="shared" si="12"/>
        <v>1371.0472909599996</v>
      </c>
      <c r="H29" s="100"/>
      <c r="I29" s="45"/>
      <c r="J29" s="79">
        <f t="shared" si="10"/>
        <v>2056.5709364399995</v>
      </c>
      <c r="K29" s="56">
        <f t="shared" si="3"/>
        <v>0.26489563314072462</v>
      </c>
      <c r="M29" s="52"/>
      <c r="N29" s="60"/>
      <c r="O29" s="52">
        <v>1.0306666666666686E-2</v>
      </c>
      <c r="P29" s="64">
        <f t="shared" si="13"/>
        <v>0.98969333333333331</v>
      </c>
      <c r="Q29" s="62">
        <f t="shared" si="4"/>
        <v>544.77666030708656</v>
      </c>
      <c r="R29" s="62">
        <f t="shared" si="5"/>
        <v>52311.949760173396</v>
      </c>
      <c r="T29" s="7"/>
      <c r="U29" s="65">
        <f t="shared" si="11"/>
        <v>450.94305166706738</v>
      </c>
      <c r="V29" s="47">
        <f t="shared" si="7"/>
        <v>21791.066412283464</v>
      </c>
      <c r="W29" s="69">
        <f t="shared" si="8"/>
        <v>23589710.263506904</v>
      </c>
      <c r="X29" s="47">
        <f t="shared" si="9"/>
        <v>23611501.329919189</v>
      </c>
    </row>
    <row r="30" spans="2:24" x14ac:dyDescent="0.25">
      <c r="B30" s="3">
        <f t="shared" si="0"/>
        <v>2027</v>
      </c>
      <c r="C30" s="71">
        <f>INDEX('0. Electricity'!$I30:$K30,MATCH(Main!$N$4,'0. Electricity'!I$2:K$2,0))</f>
        <v>53246.847518864386</v>
      </c>
      <c r="E30" s="45"/>
      <c r="F30" s="45"/>
      <c r="G30" s="55">
        <f t="shared" si="12"/>
        <v>1528.2854682199995</v>
      </c>
      <c r="H30" s="100"/>
      <c r="I30" s="45"/>
      <c r="J30" s="79">
        <f t="shared" si="10"/>
        <v>2292.4282023299993</v>
      </c>
      <c r="K30" s="56">
        <f t="shared" si="3"/>
        <v>0.26016477374429492</v>
      </c>
      <c r="M30" s="52"/>
      <c r="N30" s="60"/>
      <c r="O30" s="52">
        <v>1.1200833333333549E-2</v>
      </c>
      <c r="P30" s="64">
        <f t="shared" si="13"/>
        <v>0.98879916666666645</v>
      </c>
      <c r="Q30" s="62">
        <f t="shared" si="4"/>
        <v>596.40906458422501</v>
      </c>
      <c r="R30" s="62">
        <f t="shared" si="5"/>
        <v>52650.438454280164</v>
      </c>
      <c r="T30" s="7"/>
      <c r="U30" s="65">
        <f t="shared" si="11"/>
        <v>450.94305166706738</v>
      </c>
      <c r="V30" s="47">
        <f t="shared" si="7"/>
        <v>23856.362583369002</v>
      </c>
      <c r="W30" s="69">
        <f t="shared" si="8"/>
        <v>23742349.388182212</v>
      </c>
      <c r="X30" s="47">
        <f t="shared" si="9"/>
        <v>23766205.750765581</v>
      </c>
    </row>
    <row r="31" spans="2:24" x14ac:dyDescent="0.25">
      <c r="B31" s="3">
        <f t="shared" si="0"/>
        <v>2028</v>
      </c>
      <c r="C31" s="71">
        <f>INDEX('0. Electricity'!$I31:$K31,MATCH(Main!$N$4,'0. Electricity'!I$2:K$2,0))</f>
        <v>53616.564563600819</v>
      </c>
      <c r="E31" s="45"/>
      <c r="F31" s="45"/>
      <c r="G31" s="55">
        <f t="shared" si="12"/>
        <v>1685.5236454799995</v>
      </c>
      <c r="H31" s="100"/>
      <c r="I31" s="45"/>
      <c r="J31" s="79">
        <f t="shared" si="10"/>
        <v>2528.2854682199991</v>
      </c>
      <c r="K31" s="56">
        <f t="shared" si="3"/>
        <v>0.25649490793194457</v>
      </c>
      <c r="M31" s="52"/>
      <c r="N31" s="60"/>
      <c r="O31" s="52">
        <v>1.2095000000000189E-2</v>
      </c>
      <c r="P31" s="64">
        <f t="shared" si="13"/>
        <v>0.98790499999999981</v>
      </c>
      <c r="Q31" s="62">
        <f t="shared" si="4"/>
        <v>648.49234839676205</v>
      </c>
      <c r="R31" s="62">
        <f t="shared" si="5"/>
        <v>52968.072215204054</v>
      </c>
      <c r="T31" s="7"/>
      <c r="U31" s="65">
        <f t="shared" si="11"/>
        <v>450.94305166706738</v>
      </c>
      <c r="V31" s="47">
        <f t="shared" si="7"/>
        <v>25939.693935870484</v>
      </c>
      <c r="W31" s="69">
        <f t="shared" si="8"/>
        <v>23885584.125645719</v>
      </c>
      <c r="X31" s="47">
        <f t="shared" si="9"/>
        <v>23911523.819581591</v>
      </c>
    </row>
    <row r="32" spans="2:24" x14ac:dyDescent="0.25">
      <c r="B32" s="3">
        <f t="shared" si="0"/>
        <v>2029</v>
      </c>
      <c r="C32" s="71">
        <f>INDEX('0. Electricity'!$I32:$K32,MATCH(Main!$N$4,'0. Electricity'!I$2:K$2,0))</f>
        <v>53964.034478660746</v>
      </c>
      <c r="E32" s="45"/>
      <c r="F32" s="45"/>
      <c r="G32" s="55">
        <f t="shared" si="12"/>
        <v>1842.7618227399994</v>
      </c>
      <c r="H32" s="100"/>
      <c r="I32" s="45"/>
      <c r="J32" s="79">
        <f t="shared" si="10"/>
        <v>2764.1427341099993</v>
      </c>
      <c r="K32" s="56">
        <f t="shared" si="3"/>
        <v>0.25358597774248853</v>
      </c>
      <c r="M32" s="52"/>
      <c r="N32" s="60"/>
      <c r="O32" s="52">
        <v>1.2989166666666829E-2</v>
      </c>
      <c r="P32" s="64">
        <f t="shared" si="13"/>
        <v>0.98701083333333317</v>
      </c>
      <c r="Q32" s="62">
        <f t="shared" si="4"/>
        <v>700.94783784907963</v>
      </c>
      <c r="R32" s="62">
        <f t="shared" si="5"/>
        <v>53263.086640811664</v>
      </c>
      <c r="T32" s="7"/>
      <c r="U32" s="65">
        <f t="shared" si="11"/>
        <v>450.94305166706738</v>
      </c>
      <c r="V32" s="47">
        <f t="shared" si="7"/>
        <v>28037.913513963184</v>
      </c>
      <c r="W32" s="69">
        <f t="shared" si="8"/>
        <v>24018618.831015021</v>
      </c>
      <c r="X32" s="47">
        <f t="shared" si="9"/>
        <v>24046656.744528983</v>
      </c>
    </row>
    <row r="33" spans="2:24" x14ac:dyDescent="0.25">
      <c r="B33" s="3">
        <f t="shared" si="0"/>
        <v>2030</v>
      </c>
      <c r="C33" s="71">
        <f>INDEX('0. Electricity'!$I33:$K33,MATCH(Main!$N$4,'0. Electricity'!I$2:K$2,0))</f>
        <v>54287.905007175061</v>
      </c>
      <c r="E33" s="45"/>
      <c r="F33" s="45"/>
      <c r="G33" s="58">
        <f t="shared" si="12"/>
        <v>1999.9999999999993</v>
      </c>
      <c r="H33" s="100"/>
      <c r="I33" s="45"/>
      <c r="J33" s="79">
        <f t="shared" si="10"/>
        <v>2999.9999999999991</v>
      </c>
      <c r="K33" s="56">
        <f t="shared" si="3"/>
        <v>0.25123236039431823</v>
      </c>
      <c r="M33" s="52"/>
      <c r="N33" s="60"/>
      <c r="O33" s="52">
        <v>1.388333333333347E-2</v>
      </c>
      <c r="P33" s="64">
        <f t="shared" si="13"/>
        <v>0.98611666666666653</v>
      </c>
      <c r="Q33" s="62">
        <f t="shared" si="4"/>
        <v>753.69708118295455</v>
      </c>
      <c r="R33" s="62">
        <f t="shared" si="5"/>
        <v>53534.207925992108</v>
      </c>
      <c r="T33" s="7"/>
      <c r="U33" s="65">
        <f t="shared" si="11"/>
        <v>450.94305166706738</v>
      </c>
      <c r="V33" s="47">
        <f t="shared" si="7"/>
        <v>30147.883247318183</v>
      </c>
      <c r="W33" s="69">
        <f t="shared" si="8"/>
        <v>24140879.090726186</v>
      </c>
      <c r="X33" s="47">
        <f t="shared" si="9"/>
        <v>24171026.973973505</v>
      </c>
    </row>
    <row r="34" spans="2:24" x14ac:dyDescent="0.25">
      <c r="B34" s="3">
        <f t="shared" si="0"/>
        <v>2031</v>
      </c>
      <c r="C34" s="71">
        <f>INDEX('0. Electricity'!$I34:$K34,MATCH(Main!$N$4,'0. Electricity'!I$2:K$2,0))</f>
        <v>54587.384828457369</v>
      </c>
      <c r="E34" s="45"/>
      <c r="F34" s="45"/>
      <c r="G34" s="55">
        <f t="shared" si="12"/>
        <v>2157.2381772599992</v>
      </c>
      <c r="H34" s="100"/>
      <c r="I34" s="45"/>
      <c r="J34" s="79">
        <f t="shared" si="10"/>
        <v>3235.8572658899989</v>
      </c>
      <c r="K34" s="56">
        <f t="shared" si="3"/>
        <v>0.24928945037403169</v>
      </c>
      <c r="M34" s="52"/>
      <c r="N34" s="60"/>
      <c r="O34" s="52">
        <v>1.477750000000011E-2</v>
      </c>
      <c r="P34" s="64">
        <f t="shared" si="13"/>
        <v>0.98522249999999989</v>
      </c>
      <c r="Q34" s="62">
        <f t="shared" si="4"/>
        <v>806.66507930253476</v>
      </c>
      <c r="R34" s="62">
        <f t="shared" si="5"/>
        <v>53780.719749154836</v>
      </c>
      <c r="T34" s="7"/>
      <c r="U34" s="65">
        <f t="shared" si="11"/>
        <v>450.94305166706738</v>
      </c>
      <c r="V34" s="47">
        <f t="shared" si="7"/>
        <v>32266.60317210139</v>
      </c>
      <c r="W34" s="69">
        <f t="shared" si="8"/>
        <v>24252041.884535201</v>
      </c>
      <c r="X34" s="47">
        <f t="shared" si="9"/>
        <v>24284308.487707302</v>
      </c>
    </row>
    <row r="35" spans="2:24" x14ac:dyDescent="0.25">
      <c r="B35" s="3">
        <f t="shared" si="0"/>
        <v>2032</v>
      </c>
      <c r="C35" s="71">
        <f>INDEX('0. Electricity'!$I35:$K35,MATCH(Main!$N$4,'0. Electricity'!I$2:K$2,0))</f>
        <v>54861.90298960737</v>
      </c>
      <c r="E35" s="45"/>
      <c r="F35" s="45"/>
      <c r="G35" s="55">
        <f t="shared" si="12"/>
        <v>2314.4763545199994</v>
      </c>
      <c r="H35" s="100"/>
      <c r="I35" s="45"/>
      <c r="J35" s="79">
        <f t="shared" si="10"/>
        <v>3471.7145317799991</v>
      </c>
      <c r="K35" s="56">
        <f t="shared" si="3"/>
        <v>0.24765211784602412</v>
      </c>
      <c r="M35" s="52"/>
      <c r="N35" s="60"/>
      <c r="O35" s="52">
        <v>1.567166666666675E-2</v>
      </c>
      <c r="P35" s="64">
        <f t="shared" si="13"/>
        <v>0.98432833333333325</v>
      </c>
      <c r="Q35" s="62">
        <f t="shared" si="4"/>
        <v>859.77745635213478</v>
      </c>
      <c r="R35" s="62">
        <f t="shared" si="5"/>
        <v>54002.125533255232</v>
      </c>
      <c r="T35" s="7"/>
      <c r="U35" s="65">
        <f t="shared" si="11"/>
        <v>450.94305166706738</v>
      </c>
      <c r="V35" s="47">
        <f t="shared" si="7"/>
        <v>34391.098254085387</v>
      </c>
      <c r="W35" s="69">
        <f t="shared" si="8"/>
        <v>24351883.284474172</v>
      </c>
      <c r="X35" s="47">
        <f t="shared" si="9"/>
        <v>24386274.382728256</v>
      </c>
    </row>
    <row r="36" spans="2:24" x14ac:dyDescent="0.25">
      <c r="B36" s="3">
        <f t="shared" si="0"/>
        <v>2033</v>
      </c>
      <c r="C36" s="71">
        <f>INDEX('0. Electricity'!$I36:$K36,MATCH(Main!$N$4,'0. Electricity'!I$2:K$2,0))</f>
        <v>55110.888537724779</v>
      </c>
      <c r="E36" s="45"/>
      <c r="F36" s="45"/>
      <c r="G36" s="55">
        <f t="shared" si="12"/>
        <v>2471.7145317799996</v>
      </c>
      <c r="H36" s="100"/>
      <c r="I36" s="45"/>
      <c r="J36" s="79">
        <f t="shared" si="10"/>
        <v>3707.5717976699993</v>
      </c>
      <c r="K36" s="56">
        <f t="shared" si="3"/>
        <v>0.2462414335284363</v>
      </c>
      <c r="M36" s="52"/>
      <c r="N36" s="60"/>
      <c r="O36" s="52">
        <v>1.6565833333333391E-2</v>
      </c>
      <c r="P36" s="64">
        <f t="shared" si="13"/>
        <v>0.98343416666666661</v>
      </c>
      <c r="Q36" s="62">
        <f t="shared" si="4"/>
        <v>912.95779436786222</v>
      </c>
      <c r="R36" s="62">
        <f t="shared" si="5"/>
        <v>54197.930743356919</v>
      </c>
      <c r="T36" s="7"/>
      <c r="U36" s="65">
        <f t="shared" si="11"/>
        <v>450.94305166706738</v>
      </c>
      <c r="V36" s="47">
        <f t="shared" si="7"/>
        <v>36518.311774714486</v>
      </c>
      <c r="W36" s="69">
        <f t="shared" si="8"/>
        <v>24440180.283449739</v>
      </c>
      <c r="X36" s="47">
        <f t="shared" si="9"/>
        <v>24476698.595224455</v>
      </c>
    </row>
    <row r="37" spans="2:24" x14ac:dyDescent="0.25">
      <c r="B37" s="3">
        <f t="shared" si="0"/>
        <v>2034</v>
      </c>
      <c r="C37" s="71">
        <f>INDEX('0. Electricity'!$I37:$K37,MATCH(Main!$N$4,'0. Electricity'!I$2:K$2,0))</f>
        <v>55333.680369451358</v>
      </c>
      <c r="E37" s="45"/>
      <c r="F37" s="45"/>
      <c r="G37" s="55">
        <f t="shared" si="12"/>
        <v>2628.9527090399997</v>
      </c>
      <c r="H37" s="100"/>
      <c r="I37" s="45"/>
      <c r="J37" s="79">
        <f t="shared" si="10"/>
        <v>3943.4290635599996</v>
      </c>
      <c r="K37" s="56">
        <f t="shared" si="3"/>
        <v>0.24499643424001022</v>
      </c>
      <c r="M37" s="52"/>
      <c r="N37" s="60"/>
      <c r="O37" s="52">
        <v>1.7460000000000031E-2</v>
      </c>
      <c r="P37" s="64">
        <f t="shared" si="13"/>
        <v>0.98253999999999997</v>
      </c>
      <c r="Q37" s="62">
        <f t="shared" si="4"/>
        <v>966.12605925062246</v>
      </c>
      <c r="R37" s="62">
        <f t="shared" si="5"/>
        <v>54367.554310200736</v>
      </c>
      <c r="T37" s="7"/>
      <c r="U37" s="65">
        <f t="shared" si="11"/>
        <v>450.94305166706738</v>
      </c>
      <c r="V37" s="47">
        <f t="shared" si="7"/>
        <v>38645.042370024901</v>
      </c>
      <c r="W37" s="69">
        <f t="shared" si="8"/>
        <v>24516670.852316942</v>
      </c>
      <c r="X37" s="47">
        <f t="shared" si="9"/>
        <v>24555315.894686967</v>
      </c>
    </row>
    <row r="38" spans="2:24" x14ac:dyDescent="0.25">
      <c r="B38" s="3">
        <f t="shared" si="0"/>
        <v>2035</v>
      </c>
      <c r="C38" s="71">
        <f>INDEX('0. Electricity'!$I38:$K38,MATCH(Main!$N$4,'0. Electricity'!I$2:K$2,0))</f>
        <v>55529.867799367574</v>
      </c>
      <c r="E38" s="45"/>
      <c r="F38" s="45"/>
      <c r="G38" s="55">
        <f t="shared" si="12"/>
        <v>2786.1908862999999</v>
      </c>
      <c r="H38" s="100"/>
      <c r="I38" s="45"/>
      <c r="J38" s="79">
        <f t="shared" si="10"/>
        <v>4179.2863294499994</v>
      </c>
      <c r="K38" s="56">
        <f t="shared" si="3"/>
        <v>0.24387045256640461</v>
      </c>
      <c r="M38" s="52"/>
      <c r="N38" s="60"/>
      <c r="O38" s="52">
        <v>1.8354166666666671E-2</v>
      </c>
      <c r="P38" s="64">
        <f t="shared" si="13"/>
        <v>0.98164583333333333</v>
      </c>
      <c r="Q38" s="62">
        <f t="shared" si="4"/>
        <v>1019.2044485675593</v>
      </c>
      <c r="R38" s="62">
        <f t="shared" si="5"/>
        <v>54510.663350800016</v>
      </c>
      <c r="T38" s="7"/>
      <c r="U38" s="65">
        <f t="shared" si="11"/>
        <v>450.94305166706738</v>
      </c>
      <c r="V38" s="47">
        <f t="shared" si="7"/>
        <v>40768.177942702372</v>
      </c>
      <c r="W38" s="69">
        <f t="shared" si="8"/>
        <v>24581204.879805926</v>
      </c>
      <c r="X38" s="47">
        <f t="shared" si="9"/>
        <v>24621973.057748627</v>
      </c>
    </row>
    <row r="39" spans="2:24" x14ac:dyDescent="0.25">
      <c r="B39" s="3">
        <f t="shared" si="0"/>
        <v>2036</v>
      </c>
      <c r="C39" s="71">
        <f>INDEX('0. Electricity'!$I39:$K39,MATCH(Main!$N$4,'0. Electricity'!I$2:K$2,0))</f>
        <v>55699.55099464894</v>
      </c>
      <c r="E39" s="45"/>
      <c r="F39" s="45"/>
      <c r="G39" s="55">
        <f t="shared" si="12"/>
        <v>2943.42906356</v>
      </c>
      <c r="H39" s="100"/>
      <c r="I39" s="45"/>
      <c r="J39" s="79">
        <f t="shared" si="10"/>
        <v>4415.1435953400005</v>
      </c>
      <c r="K39" s="56">
        <f t="shared" si="3"/>
        <v>0.24282868742787747</v>
      </c>
      <c r="M39" s="52"/>
      <c r="N39" s="60"/>
      <c r="O39" s="52">
        <v>1.9248333333333534E-2</v>
      </c>
      <c r="P39" s="64">
        <f t="shared" si="13"/>
        <v>0.98075166666666647</v>
      </c>
      <c r="Q39" s="62">
        <f t="shared" si="4"/>
        <v>1072.1235240620122</v>
      </c>
      <c r="R39" s="62">
        <f t="shared" si="5"/>
        <v>54627.427470586925</v>
      </c>
      <c r="T39" s="7"/>
      <c r="U39" s="65">
        <f t="shared" si="11"/>
        <v>450.94305166706738</v>
      </c>
      <c r="V39" s="47">
        <f t="shared" si="7"/>
        <v>42884.940962480483</v>
      </c>
      <c r="W39" s="69">
        <f t="shared" si="8"/>
        <v>24633858.848307855</v>
      </c>
      <c r="X39" s="47">
        <f t="shared" si="9"/>
        <v>24676743.789270338</v>
      </c>
    </row>
    <row r="40" spans="2:24" x14ac:dyDescent="0.25">
      <c r="B40" s="3">
        <f t="shared" si="0"/>
        <v>2037</v>
      </c>
      <c r="C40" s="71">
        <f>INDEX('0. Electricity'!$I40:$K40,MATCH(Main!$N$4,'0. Electricity'!I$2:K$2,0))</f>
        <v>55842.800072318285</v>
      </c>
      <c r="E40" s="45"/>
      <c r="F40" s="45"/>
      <c r="G40" s="55">
        <f t="shared" si="12"/>
        <v>3100.6672408200002</v>
      </c>
      <c r="H40" s="100"/>
      <c r="I40" s="45"/>
      <c r="J40" s="79">
        <f t="shared" si="10"/>
        <v>4651.0008612299998</v>
      </c>
      <c r="K40" s="56">
        <f t="shared" si="3"/>
        <v>0.24184334383443085</v>
      </c>
      <c r="M40" s="52"/>
      <c r="N40" s="60"/>
      <c r="O40" s="52">
        <v>2.0142500000000174E-2</v>
      </c>
      <c r="P40" s="64">
        <f t="shared" si="13"/>
        <v>0.97985749999999983</v>
      </c>
      <c r="Q40" s="62">
        <f t="shared" si="4"/>
        <v>1124.8136004566809</v>
      </c>
      <c r="R40" s="62">
        <f t="shared" si="5"/>
        <v>54717.986471861601</v>
      </c>
      <c r="T40" s="7"/>
      <c r="U40" s="65">
        <f t="shared" si="11"/>
        <v>450.94305166706738</v>
      </c>
      <c r="V40" s="47">
        <f t="shared" si="7"/>
        <v>44992.544018267232</v>
      </c>
      <c r="W40" s="69">
        <f t="shared" si="8"/>
        <v>24674695.800698578</v>
      </c>
      <c r="X40" s="47">
        <f t="shared" si="9"/>
        <v>24719688.344716847</v>
      </c>
    </row>
    <row r="41" spans="2:24" x14ac:dyDescent="0.25">
      <c r="B41" s="3">
        <f t="shared" si="0"/>
        <v>2038</v>
      </c>
      <c r="C41" s="71">
        <f>INDEX('0. Electricity'!$I41:$K41,MATCH(Main!$N$4,'0. Electricity'!I$2:K$2,0))</f>
        <v>55960.155935123279</v>
      </c>
      <c r="E41" s="45"/>
      <c r="F41" s="45"/>
      <c r="G41" s="55">
        <f t="shared" si="12"/>
        <v>3257.9054180800003</v>
      </c>
      <c r="H41" s="100"/>
      <c r="I41" s="45"/>
      <c r="J41" s="79">
        <f t="shared" si="10"/>
        <v>4886.8581271200001</v>
      </c>
      <c r="K41" s="56">
        <f t="shared" si="3"/>
        <v>0.24089407066860358</v>
      </c>
      <c r="M41" s="52"/>
      <c r="N41" s="60"/>
      <c r="O41" s="52">
        <v>2.1036666666666815E-2</v>
      </c>
      <c r="P41" s="64">
        <f t="shared" si="13"/>
        <v>0.97896333333333319</v>
      </c>
      <c r="Q41" s="62">
        <f t="shared" si="4"/>
        <v>1177.2151470218851</v>
      </c>
      <c r="R41" s="62">
        <f t="shared" si="5"/>
        <v>54782.940788101398</v>
      </c>
      <c r="T41" s="7"/>
      <c r="U41" s="65">
        <f t="shared" si="11"/>
        <v>450.94305166706738</v>
      </c>
      <c r="V41" s="47">
        <f t="shared" si="7"/>
        <v>47088.605880875402</v>
      </c>
      <c r="W41" s="69">
        <f t="shared" si="8"/>
        <v>24703986.498282701</v>
      </c>
      <c r="X41" s="47">
        <f t="shared" si="9"/>
        <v>24751075.104163576</v>
      </c>
    </row>
    <row r="42" spans="2:24" x14ac:dyDescent="0.25">
      <c r="B42" s="3">
        <f t="shared" si="0"/>
        <v>2039</v>
      </c>
      <c r="C42" s="71">
        <f>INDEX('0. Electricity'!$I42:$K42,MATCH(Main!$N$4,'0. Electricity'!I$2:K$2,0))</f>
        <v>56052.670338406555</v>
      </c>
      <c r="E42" s="45"/>
      <c r="F42" s="45"/>
      <c r="G42" s="55">
        <f t="shared" si="12"/>
        <v>3415.1435953400005</v>
      </c>
      <c r="H42" s="100"/>
      <c r="I42" s="45"/>
      <c r="J42" s="79">
        <f t="shared" si="10"/>
        <v>5122.7153930100003</v>
      </c>
      <c r="K42" s="56">
        <f t="shared" si="3"/>
        <v>0.23996682945869802</v>
      </c>
      <c r="M42" s="52"/>
      <c r="N42" s="60"/>
      <c r="O42" s="52">
        <v>2.1930833333333455E-2</v>
      </c>
      <c r="P42" s="64">
        <f t="shared" si="13"/>
        <v>0.97806916666666655</v>
      </c>
      <c r="Q42" s="62">
        <f t="shared" si="4"/>
        <v>1229.2817710798779</v>
      </c>
      <c r="R42" s="62">
        <f t="shared" si="5"/>
        <v>54823.388567326678</v>
      </c>
      <c r="T42" s="7"/>
      <c r="U42" s="65">
        <f t="shared" si="11"/>
        <v>450.94305166706738</v>
      </c>
      <c r="V42" s="47">
        <f t="shared" si="7"/>
        <v>49171.270843195118</v>
      </c>
      <c r="W42" s="69">
        <f t="shared" si="8"/>
        <v>24722226.143279705</v>
      </c>
      <c r="X42" s="47">
        <f t="shared" si="9"/>
        <v>24771397.414122902</v>
      </c>
    </row>
    <row r="43" spans="2:24" x14ac:dyDescent="0.25">
      <c r="B43" s="3">
        <f t="shared" si="0"/>
        <v>2040</v>
      </c>
      <c r="C43" s="71">
        <f>INDEX('0. Electricity'!$I43:$K43,MATCH(Main!$N$4,'0. Electricity'!I$2:K$2,0))</f>
        <v>56121.204719877336</v>
      </c>
      <c r="E43" s="45"/>
      <c r="F43" s="45"/>
      <c r="G43" s="55">
        <f t="shared" si="12"/>
        <v>3572.3817726000007</v>
      </c>
      <c r="H43" s="100"/>
      <c r="I43" s="45"/>
      <c r="J43" s="79">
        <f t="shared" si="10"/>
        <v>5358.5726589000014</v>
      </c>
      <c r="K43" s="56">
        <f t="shared" si="3"/>
        <v>0.23904994469071172</v>
      </c>
      <c r="M43" s="52"/>
      <c r="N43" s="60"/>
      <c r="O43" s="52">
        <v>2.2825000000000095E-2</v>
      </c>
      <c r="P43" s="64">
        <f t="shared" si="13"/>
        <v>0.9771749999999999</v>
      </c>
      <c r="Q43" s="62">
        <f t="shared" si="4"/>
        <v>1280.9664977312054</v>
      </c>
      <c r="R43" s="62">
        <f t="shared" si="5"/>
        <v>54840.23822214613</v>
      </c>
      <c r="T43" s="7"/>
      <c r="U43" s="65">
        <f t="shared" si="11"/>
        <v>450.94305166706738</v>
      </c>
      <c r="V43" s="47">
        <f t="shared" si="7"/>
        <v>51238.659909248221</v>
      </c>
      <c r="W43" s="69">
        <f t="shared" si="8"/>
        <v>24729824.378043525</v>
      </c>
      <c r="X43" s="47">
        <f t="shared" si="9"/>
        <v>24781063.037952773</v>
      </c>
    </row>
    <row r="44" spans="2:24" x14ac:dyDescent="0.25">
      <c r="B44" s="3">
        <f t="shared" si="0"/>
        <v>2041</v>
      </c>
      <c r="C44" s="71">
        <f>INDEX('0. Electricity'!$I44:$K44,MATCH(Main!$N$4,'0. Electricity'!I$2:K$2,0))</f>
        <v>56166.420182893868</v>
      </c>
      <c r="E44" s="45"/>
      <c r="F44" s="45"/>
      <c r="G44" s="55">
        <f t="shared" si="12"/>
        <v>3729.6199498600008</v>
      </c>
      <c r="H44" s="100"/>
      <c r="I44" s="45"/>
      <c r="J44" s="79">
        <f t="shared" si="10"/>
        <v>5594.4299247900017</v>
      </c>
      <c r="K44" s="56">
        <f t="shared" si="3"/>
        <v>0.23813341114253059</v>
      </c>
      <c r="M44" s="52"/>
      <c r="N44" s="60"/>
      <c r="O44" s="52">
        <v>2.3719166666666736E-2</v>
      </c>
      <c r="P44" s="64">
        <f t="shared" si="13"/>
        <v>0.97628083333333326</v>
      </c>
      <c r="Q44" s="62">
        <f t="shared" si="4"/>
        <v>1332.2206813880939</v>
      </c>
      <c r="R44" s="62">
        <f t="shared" si="5"/>
        <v>54834.199501505776</v>
      </c>
      <c r="T44" s="7"/>
      <c r="U44" s="65">
        <f t="shared" si="11"/>
        <v>450.94305166706738</v>
      </c>
      <c r="V44" s="47">
        <f t="shared" si="7"/>
        <v>53288.827255523756</v>
      </c>
      <c r="W44" s="69">
        <f t="shared" si="8"/>
        <v>24727101.2589298</v>
      </c>
      <c r="X44" s="47">
        <f t="shared" si="9"/>
        <v>24780390.086185325</v>
      </c>
    </row>
    <row r="45" spans="2:24" x14ac:dyDescent="0.25">
      <c r="B45" s="3">
        <f t="shared" si="0"/>
        <v>2042</v>
      </c>
      <c r="C45" s="71">
        <f>INDEX('0. Electricity'!$I45:$K45,MATCH(Main!$N$4,'0. Electricity'!I$2:K$2,0))</f>
        <v>56189.128081577634</v>
      </c>
      <c r="E45" s="45"/>
      <c r="F45" s="45"/>
      <c r="G45" s="55">
        <f t="shared" si="12"/>
        <v>3886.858127120001</v>
      </c>
      <c r="H45" s="100"/>
      <c r="I45" s="45"/>
      <c r="J45" s="79">
        <f t="shared" si="10"/>
        <v>5830.2871906800019</v>
      </c>
      <c r="K45" s="56">
        <f t="shared" si="3"/>
        <v>0.23720988245519514</v>
      </c>
      <c r="M45" s="52"/>
      <c r="N45" s="60"/>
      <c r="O45" s="52">
        <v>2.4613333333333376E-2</v>
      </c>
      <c r="P45" s="64">
        <f t="shared" si="13"/>
        <v>0.97538666666666662</v>
      </c>
      <c r="Q45" s="62">
        <f t="shared" si="4"/>
        <v>1383.0017391812332</v>
      </c>
      <c r="R45" s="62">
        <f t="shared" si="5"/>
        <v>54806.126342396397</v>
      </c>
      <c r="T45" s="7"/>
      <c r="U45" s="65">
        <f t="shared" si="11"/>
        <v>450.94305166706738</v>
      </c>
      <c r="V45" s="47">
        <f t="shared" si="7"/>
        <v>55320.069567249331</v>
      </c>
      <c r="W45" s="69">
        <f t="shared" si="8"/>
        <v>24714441.862891082</v>
      </c>
      <c r="X45" s="47">
        <f t="shared" si="9"/>
        <v>24769761.93245833</v>
      </c>
    </row>
    <row r="46" spans="2:24" x14ac:dyDescent="0.25">
      <c r="B46" s="3">
        <f t="shared" si="0"/>
        <v>2043</v>
      </c>
      <c r="C46" s="71">
        <f>INDEX('0. Electricity'!$I46:$K46,MATCH(Main!$N$4,'0. Electricity'!I$2:K$2,0))</f>
        <v>56190.760806538128</v>
      </c>
      <c r="E46" s="45"/>
      <c r="F46" s="45"/>
      <c r="G46" s="55">
        <f t="shared" si="12"/>
        <v>4044.0963043800011</v>
      </c>
      <c r="H46" s="100"/>
      <c r="I46" s="45"/>
      <c r="J46" s="79">
        <f t="shared" si="10"/>
        <v>6066.1444565700012</v>
      </c>
      <c r="K46" s="56">
        <f t="shared" si="3"/>
        <v>0.23627624457911434</v>
      </c>
      <c r="M46" s="52"/>
      <c r="N46" s="60"/>
      <c r="O46" s="52">
        <v>2.5507500000000016E-2</v>
      </c>
      <c r="P46" s="64">
        <f t="shared" si="13"/>
        <v>0.97449249999999998</v>
      </c>
      <c r="Q46" s="62">
        <f t="shared" si="4"/>
        <v>1433.2858312727722</v>
      </c>
      <c r="R46" s="62">
        <f t="shared" si="5"/>
        <v>54757.474975265359</v>
      </c>
      <c r="T46" s="7"/>
      <c r="U46" s="65">
        <f t="shared" si="11"/>
        <v>450.94305166706738</v>
      </c>
      <c r="V46" s="47">
        <f t="shared" si="7"/>
        <v>57331.433250910886</v>
      </c>
      <c r="W46" s="69">
        <f t="shared" si="8"/>
        <v>24692502.866929237</v>
      </c>
      <c r="X46" s="47">
        <f t="shared" si="9"/>
        <v>24749834.300180148</v>
      </c>
    </row>
    <row r="47" spans="2:24" x14ac:dyDescent="0.25">
      <c r="B47" s="3">
        <f t="shared" si="0"/>
        <v>2044</v>
      </c>
      <c r="C47" s="71">
        <f>INDEX('0. Electricity'!$I47:$K47,MATCH(Main!$N$4,'0. Electricity'!I$2:K$2,0))</f>
        <v>56173.191483957045</v>
      </c>
      <c r="E47" s="45"/>
      <c r="F47" s="45"/>
      <c r="G47" s="55">
        <f t="shared" si="12"/>
        <v>4201.3344816400013</v>
      </c>
      <c r="H47" s="100"/>
      <c r="I47" s="45"/>
      <c r="J47" s="79">
        <f t="shared" si="10"/>
        <v>6302.0017224600015</v>
      </c>
      <c r="K47" s="56">
        <f t="shared" si="3"/>
        <v>0.23533250901482874</v>
      </c>
      <c r="M47" s="52"/>
      <c r="N47" s="60"/>
      <c r="O47" s="52">
        <v>2.6401666666666879E-2</v>
      </c>
      <c r="P47" s="64">
        <f t="shared" si="13"/>
        <v>0.97359833333333312</v>
      </c>
      <c r="Q47" s="62">
        <f t="shared" si="4"/>
        <v>1483.0658771622846</v>
      </c>
      <c r="R47" s="62">
        <f t="shared" si="5"/>
        <v>54690.125606794762</v>
      </c>
      <c r="T47" s="7"/>
      <c r="U47" s="65">
        <f t="shared" si="11"/>
        <v>450.94305166706738</v>
      </c>
      <c r="V47" s="47">
        <f t="shared" si="7"/>
        <v>59322.635086491384</v>
      </c>
      <c r="W47" s="69">
        <f t="shared" si="8"/>
        <v>24662132.137183256</v>
      </c>
      <c r="X47" s="47">
        <f t="shared" si="9"/>
        <v>24721454.772269748</v>
      </c>
    </row>
    <row r="48" spans="2:24" x14ac:dyDescent="0.25">
      <c r="B48" s="3">
        <f t="shared" si="0"/>
        <v>2045</v>
      </c>
      <c r="C48" s="71">
        <f>INDEX('0. Electricity'!$I48:$K48,MATCH(Main!$N$4,'0. Electricity'!I$2:K$2,0))</f>
        <v>56138.092905665086</v>
      </c>
      <c r="E48" s="45"/>
      <c r="F48" s="45"/>
      <c r="G48" s="55">
        <f t="shared" si="12"/>
        <v>4358.5726589000014</v>
      </c>
      <c r="H48" s="100"/>
      <c r="I48" s="45"/>
      <c r="J48" s="79">
        <f t="shared" si="10"/>
        <v>6537.8589883500017</v>
      </c>
      <c r="K48" s="56">
        <f t="shared" si="3"/>
        <v>0.23437887393024848</v>
      </c>
      <c r="M48" s="52"/>
      <c r="N48" s="60"/>
      <c r="O48" s="52">
        <v>2.7295833333333519E-2</v>
      </c>
      <c r="P48" s="64">
        <f t="shared" si="13"/>
        <v>0.97270416666666648</v>
      </c>
      <c r="Q48" s="62">
        <f t="shared" si="4"/>
        <v>1532.336027604227</v>
      </c>
      <c r="R48" s="62">
        <f t="shared" si="5"/>
        <v>54605.756878060856</v>
      </c>
      <c r="T48" s="7"/>
      <c r="U48" s="65">
        <f t="shared" si="11"/>
        <v>450.94305166706738</v>
      </c>
      <c r="V48" s="47">
        <f t="shared" si="7"/>
        <v>61293.441104169076</v>
      </c>
      <c r="W48" s="69">
        <f t="shared" si="8"/>
        <v>24624086.645182718</v>
      </c>
      <c r="X48" s="47">
        <f t="shared" si="9"/>
        <v>24685380.086286888</v>
      </c>
    </row>
    <row r="49" spans="2:24" x14ac:dyDescent="0.25">
      <c r="B49" s="3">
        <f t="shared" si="0"/>
        <v>2046</v>
      </c>
      <c r="C49" s="71">
        <f>INDEX('0. Electricity'!$I49:$K49,MATCH(Main!$N$4,'0. Electricity'!I$2:K$2,0))</f>
        <v>56086.506810287334</v>
      </c>
      <c r="E49" s="45"/>
      <c r="F49" s="45"/>
      <c r="G49" s="55">
        <f t="shared" si="12"/>
        <v>4515.8108361600016</v>
      </c>
      <c r="H49" s="100"/>
      <c r="I49" s="45"/>
      <c r="J49" s="79">
        <f t="shared" si="10"/>
        <v>6773.7162542400029</v>
      </c>
      <c r="K49" s="56">
        <f t="shared" si="3"/>
        <v>0.2334137669248153</v>
      </c>
      <c r="M49" s="52"/>
      <c r="N49" s="60"/>
      <c r="O49" s="52">
        <v>2.8190000000000159E-2</v>
      </c>
      <c r="P49" s="64">
        <f t="shared" si="13"/>
        <v>0.97180999999999984</v>
      </c>
      <c r="Q49" s="62">
        <f t="shared" si="4"/>
        <v>1581.0786269820089</v>
      </c>
      <c r="R49" s="62">
        <f t="shared" si="5"/>
        <v>54505.428183305325</v>
      </c>
      <c r="T49" s="7"/>
      <c r="U49" s="65">
        <f t="shared" si="11"/>
        <v>450.94305166706738</v>
      </c>
      <c r="V49" s="47">
        <f t="shared" si="7"/>
        <v>63243.145079280359</v>
      </c>
      <c r="W49" s="69">
        <f t="shared" si="8"/>
        <v>24578844.117399883</v>
      </c>
      <c r="X49" s="47">
        <f t="shared" si="9"/>
        <v>24642087.262479164</v>
      </c>
    </row>
    <row r="50" spans="2:24" x14ac:dyDescent="0.25">
      <c r="B50" s="3">
        <f t="shared" si="0"/>
        <v>2047</v>
      </c>
      <c r="C50" s="71">
        <f>INDEX('0. Electricity'!$I50:$K50,MATCH(Main!$N$4,'0. Electricity'!I$2:K$2,0))</f>
        <v>56019.314668968123</v>
      </c>
      <c r="E50" s="45"/>
      <c r="F50" s="45"/>
      <c r="G50" s="55">
        <f t="shared" si="12"/>
        <v>4673.0490134200018</v>
      </c>
      <c r="H50" s="100"/>
      <c r="I50" s="45"/>
      <c r="J50" s="79">
        <f t="shared" si="10"/>
        <v>7009.5735201300031</v>
      </c>
      <c r="K50" s="56">
        <f t="shared" si="3"/>
        <v>0.23243569379874396</v>
      </c>
      <c r="M50" s="52"/>
      <c r="N50" s="60"/>
      <c r="O50" s="52">
        <v>2.90841666666668E-2</v>
      </c>
      <c r="P50" s="64">
        <f t="shared" si="13"/>
        <v>0.9709158333333332</v>
      </c>
      <c r="Q50" s="62">
        <f t="shared" si="4"/>
        <v>1629.2750843847211</v>
      </c>
      <c r="R50" s="62">
        <f t="shared" si="5"/>
        <v>54390.039584583399</v>
      </c>
      <c r="T50" s="7"/>
      <c r="U50" s="65">
        <f t="shared" si="11"/>
        <v>450.94305166706738</v>
      </c>
      <c r="V50" s="47">
        <f t="shared" si="7"/>
        <v>65171.003375388842</v>
      </c>
      <c r="W50" s="69">
        <f t="shared" si="8"/>
        <v>24526810.430564631</v>
      </c>
      <c r="X50" s="47">
        <f t="shared" si="9"/>
        <v>24591981.433940019</v>
      </c>
    </row>
    <row r="51" spans="2:24" x14ac:dyDescent="0.25">
      <c r="B51" s="3">
        <f t="shared" si="0"/>
        <v>2048</v>
      </c>
      <c r="C51" s="71">
        <f>INDEX('0. Electricity'!$I51:$K51,MATCH(Main!$N$4,'0. Electricity'!I$2:K$2,0))</f>
        <v>55938.51982521727</v>
      </c>
      <c r="E51" s="45"/>
      <c r="F51" s="45"/>
      <c r="G51" s="55">
        <f t="shared" si="12"/>
        <v>4830.2871906800019</v>
      </c>
      <c r="H51" s="100"/>
      <c r="I51" s="45"/>
      <c r="J51" s="79">
        <f t="shared" si="10"/>
        <v>7245.4307860200033</v>
      </c>
      <c r="K51" s="56">
        <f t="shared" si="3"/>
        <v>0.23144843184884087</v>
      </c>
      <c r="M51" s="52"/>
      <c r="N51" s="60"/>
      <c r="O51" s="52">
        <v>2.997833333333344E-2</v>
      </c>
      <c r="P51" s="64">
        <f t="shared" si="13"/>
        <v>0.97002166666666656</v>
      </c>
      <c r="Q51" s="62">
        <f t="shared" si="4"/>
        <v>1676.9435934936444</v>
      </c>
      <c r="R51" s="62">
        <f t="shared" si="5"/>
        <v>54261.576231723629</v>
      </c>
      <c r="T51" s="7"/>
      <c r="U51" s="65">
        <f t="shared" si="11"/>
        <v>450.94305166706738</v>
      </c>
      <c r="V51" s="47">
        <f t="shared" si="7"/>
        <v>67077.743739745769</v>
      </c>
      <c r="W51" s="69">
        <f t="shared" si="8"/>
        <v>24468880.774198662</v>
      </c>
      <c r="X51" s="47">
        <f t="shared" si="9"/>
        <v>24535958.517938409</v>
      </c>
    </row>
    <row r="52" spans="2:24" x14ac:dyDescent="0.25">
      <c r="B52" s="3">
        <f t="shared" si="0"/>
        <v>2049</v>
      </c>
      <c r="C52" s="71">
        <f>INDEX('0. Electricity'!$I52:$K52,MATCH(Main!$N$4,'0. Electricity'!I$2:K$2,0))</f>
        <v>55845.164017659867</v>
      </c>
      <c r="E52" s="45"/>
      <c r="F52" s="45"/>
      <c r="G52" s="55">
        <f t="shared" si="12"/>
        <v>4987.5253679400021</v>
      </c>
      <c r="H52" s="100"/>
      <c r="I52" s="45"/>
      <c r="J52" s="79">
        <f t="shared" si="10"/>
        <v>7481.2880519100027</v>
      </c>
      <c r="K52" s="56">
        <f t="shared" si="3"/>
        <v>0.23045227161050755</v>
      </c>
      <c r="M52" s="52"/>
      <c r="N52" s="60"/>
      <c r="O52" s="52">
        <v>3.087250000000008E-2</v>
      </c>
      <c r="P52" s="64">
        <f t="shared" si="13"/>
        <v>0.96912749999999992</v>
      </c>
      <c r="Q52" s="62">
        <f t="shared" si="4"/>
        <v>1724.0798261352088</v>
      </c>
      <c r="R52" s="62">
        <f t="shared" si="5"/>
        <v>54121.084191524656</v>
      </c>
      <c r="T52" s="7"/>
      <c r="U52" s="65">
        <f t="shared" si="11"/>
        <v>450.94305166706738</v>
      </c>
      <c r="V52" s="47">
        <f t="shared" si="7"/>
        <v>68963.193045408349</v>
      </c>
      <c r="W52" s="69">
        <f t="shared" si="8"/>
        <v>24405526.864856407</v>
      </c>
      <c r="X52" s="47">
        <f t="shared" si="9"/>
        <v>24474490.057901815</v>
      </c>
    </row>
    <row r="53" spans="2:24" x14ac:dyDescent="0.25">
      <c r="B53" s="3">
        <f t="shared" si="0"/>
        <v>2050</v>
      </c>
      <c r="C53" s="71">
        <f>INDEX('0. Electricity'!$I53:$K53,MATCH(Main!$N$4,'0. Electricity'!I$2:K$2,0))</f>
        <v>55740.960104996826</v>
      </c>
      <c r="E53" s="45"/>
      <c r="F53" s="45"/>
      <c r="G53" s="55">
        <f t="shared" si="12"/>
        <v>5144.7635452000022</v>
      </c>
      <c r="H53" s="100"/>
      <c r="I53" s="45"/>
      <c r="J53" s="79">
        <f t="shared" si="10"/>
        <v>7717.1453178000029</v>
      </c>
      <c r="K53" s="56">
        <f t="shared" si="3"/>
        <v>0.22945071349779805</v>
      </c>
      <c r="M53" s="52"/>
      <c r="N53" s="60"/>
      <c r="O53" s="52">
        <v>3.1766666666666721E-2</v>
      </c>
      <c r="P53" s="64">
        <f t="shared" si="13"/>
        <v>0.96823333333333328</v>
      </c>
      <c r="Q53" s="62">
        <f t="shared" si="4"/>
        <v>1770.7044993354023</v>
      </c>
      <c r="R53" s="62">
        <f t="shared" si="5"/>
        <v>53970.255605661427</v>
      </c>
      <c r="T53" s="7"/>
      <c r="U53" s="65">
        <f t="shared" si="11"/>
        <v>450.94305166706738</v>
      </c>
      <c r="V53" s="47">
        <f t="shared" si="7"/>
        <v>70828.179973416089</v>
      </c>
      <c r="W53" s="69">
        <f t="shared" si="8"/>
        <v>24337511.762068614</v>
      </c>
      <c r="X53" s="47">
        <f t="shared" si="9"/>
        <v>24408339.94204203</v>
      </c>
    </row>
    <row r="54" spans="2:24" x14ac:dyDescent="0.25">
      <c r="B54" s="1"/>
      <c r="C54" s="1"/>
    </row>
    <row r="55" spans="2:24" x14ac:dyDescent="0.25">
      <c r="B55" s="1"/>
      <c r="C55" s="1"/>
      <c r="E55" s="15" t="s">
        <v>30</v>
      </c>
      <c r="I55" s="15" t="s">
        <v>30</v>
      </c>
      <c r="M55" s="15" t="s">
        <v>30</v>
      </c>
    </row>
    <row r="56" spans="2:24" x14ac:dyDescent="0.25">
      <c r="B56" s="15"/>
      <c r="E56" s="1" t="s">
        <v>63</v>
      </c>
      <c r="F56" s="1"/>
      <c r="G56" s="1"/>
      <c r="I56" s="1" t="s">
        <v>64</v>
      </c>
      <c r="L56" s="1"/>
      <c r="M56" s="1" t="s">
        <v>65</v>
      </c>
      <c r="N56" s="1"/>
      <c r="O56" s="1"/>
      <c r="P56" s="1"/>
    </row>
    <row r="57" spans="2:24" x14ac:dyDescent="0.25">
      <c r="B57" s="1"/>
      <c r="E57" s="1" t="s">
        <v>66</v>
      </c>
      <c r="F57" s="1"/>
      <c r="G57" s="1"/>
      <c r="I57" s="1" t="s">
        <v>67</v>
      </c>
      <c r="L57" s="1"/>
      <c r="M57" s="1" t="s">
        <v>68</v>
      </c>
      <c r="N57" s="1"/>
      <c r="O57" s="1"/>
      <c r="P57" s="1"/>
    </row>
    <row r="58" spans="2:24" x14ac:dyDescent="0.25">
      <c r="B58" s="1"/>
    </row>
  </sheetData>
  <conditionalFormatting sqref="C8:C53 T8:X53 E8:G53 I8:K53 M8:N53 Q8:R53">
    <cfRule type="expression" dxfId="24" priority="4">
      <formula>ISBLANK(C8)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10D7E-F0BE-4F43-9D6C-B51DE04DD604}">
  <sheetPr codeName="Sheet6"/>
  <dimension ref="B1:Z79"/>
  <sheetViews>
    <sheetView showGridLines="0" zoomScale="80" zoomScaleNormal="80" workbookViewId="0">
      <pane xSplit="1" ySplit="7" topLeftCell="B8" activePane="bottomRight" state="frozen"/>
      <selection pane="topRight" activeCell="G33" sqref="G33"/>
      <selection pane="bottomLeft" activeCell="G33" sqref="G33"/>
      <selection pane="bottomRight" activeCell="C13" sqref="C13"/>
    </sheetView>
  </sheetViews>
  <sheetFormatPr defaultColWidth="8.7265625" defaultRowHeight="15" x14ac:dyDescent="0.25"/>
  <cols>
    <col min="1" max="1" width="2.7265625" customWidth="1"/>
    <col min="2" max="2" width="8.7265625" customWidth="1"/>
    <col min="3" max="3" width="12.26953125" customWidth="1"/>
    <col min="4" max="4" width="10.26953125" customWidth="1"/>
    <col min="5" max="5" width="2.26953125" customWidth="1"/>
    <col min="6" max="6" width="13.7265625" customWidth="1"/>
    <col min="8" max="8" width="2.54296875" customWidth="1"/>
    <col min="9" max="11" width="14.7265625" customWidth="1"/>
    <col min="12" max="12" width="2.54296875" customWidth="1"/>
    <col min="13" max="15" width="14.7265625" customWidth="1"/>
    <col min="16" max="16" width="2.7265625" customWidth="1"/>
    <col min="17" max="17" width="14.453125" customWidth="1"/>
    <col min="18" max="18" width="15.54296875" bestFit="1" customWidth="1"/>
    <col min="19" max="19" width="13" bestFit="1" customWidth="1"/>
    <col min="20" max="20" width="17.26953125" bestFit="1" customWidth="1"/>
    <col min="24" max="28" width="13.7265625" customWidth="1"/>
  </cols>
  <sheetData>
    <row r="1" spans="2:26" ht="22.8" x14ac:dyDescent="0.4">
      <c r="B1" s="6" t="s">
        <v>114</v>
      </c>
      <c r="X1" s="6"/>
    </row>
    <row r="2" spans="2:26" ht="15.6" x14ac:dyDescent="0.3">
      <c r="B2" s="48" t="s">
        <v>1</v>
      </c>
      <c r="C2" s="48"/>
      <c r="D2" s="49"/>
      <c r="E2" s="43"/>
      <c r="F2" s="48" t="s">
        <v>115</v>
      </c>
      <c r="G2" s="49"/>
      <c r="H2" s="49"/>
      <c r="I2" s="48"/>
      <c r="J2" s="49"/>
      <c r="K2" s="49"/>
      <c r="L2" s="43"/>
      <c r="M2" s="48" t="s">
        <v>116</v>
      </c>
      <c r="N2" s="49"/>
      <c r="O2" s="49"/>
      <c r="P2" s="43"/>
      <c r="Q2" s="48" t="s">
        <v>73</v>
      </c>
      <c r="R2" s="49"/>
      <c r="S2" s="49"/>
      <c r="T2" s="49"/>
      <c r="U2" s="49"/>
      <c r="V2" s="49"/>
      <c r="W2" s="49"/>
      <c r="X2" s="49"/>
      <c r="Y2" s="49"/>
      <c r="Z2" s="49"/>
    </row>
    <row r="3" spans="2:26" ht="9" customHeight="1" x14ac:dyDescent="0.25">
      <c r="B3" s="2"/>
      <c r="C3" s="1"/>
      <c r="D3" s="1"/>
      <c r="H3" s="1"/>
      <c r="I3" s="1"/>
      <c r="J3" s="1"/>
      <c r="K3" s="1"/>
      <c r="L3" s="1"/>
      <c r="M3" s="1"/>
      <c r="N3" s="1"/>
      <c r="O3" s="1"/>
    </row>
    <row r="4" spans="2:26" x14ac:dyDescent="0.25">
      <c r="C4" s="24" t="s">
        <v>74</v>
      </c>
      <c r="D4" s="25">
        <f>CORREL($C$8:$C$41,$D$8:$D$41)</f>
        <v>0.94180273800849534</v>
      </c>
      <c r="H4" s="1"/>
      <c r="L4" s="1"/>
      <c r="M4" s="26" t="s">
        <v>75</v>
      </c>
      <c r="N4" s="27">
        <f>$R$22</f>
        <v>7336539.3369174916</v>
      </c>
      <c r="O4" s="1"/>
    </row>
    <row r="5" spans="2:26" ht="15.45" customHeight="1" x14ac:dyDescent="0.25">
      <c r="B5" s="2"/>
      <c r="C5" s="1"/>
      <c r="D5" s="1"/>
      <c r="H5" s="1"/>
      <c r="I5" s="1"/>
      <c r="J5" s="1"/>
      <c r="K5" s="1"/>
      <c r="L5" s="1"/>
      <c r="M5" s="26" t="s">
        <v>76</v>
      </c>
      <c r="N5" s="27">
        <f>$R$23</f>
        <v>173773.29922734454</v>
      </c>
      <c r="O5" s="1"/>
    </row>
    <row r="6" spans="2:26" x14ac:dyDescent="0.25">
      <c r="B6" s="22"/>
      <c r="C6" s="31" t="s">
        <v>13</v>
      </c>
      <c r="D6" s="23" t="s">
        <v>117</v>
      </c>
      <c r="F6" s="29" t="s">
        <v>118</v>
      </c>
      <c r="H6" s="1"/>
      <c r="I6" s="1"/>
      <c r="J6" s="1"/>
      <c r="K6" s="1"/>
      <c r="L6" s="1"/>
      <c r="M6" s="73" t="s">
        <v>8</v>
      </c>
      <c r="N6" s="73" t="s">
        <v>71</v>
      </c>
      <c r="O6" s="73" t="s">
        <v>72</v>
      </c>
      <c r="Q6" t="s">
        <v>77</v>
      </c>
    </row>
    <row r="7" spans="2:26" s="35" customFormat="1" ht="33" customHeight="1" thickBot="1" x14ac:dyDescent="0.3">
      <c r="B7" s="40" t="s">
        <v>15</v>
      </c>
      <c r="C7" s="32" t="str">
        <f>Main!D7</f>
        <v>Industry Emission</v>
      </c>
      <c r="D7" s="40" t="s">
        <v>4</v>
      </c>
      <c r="F7" s="107" t="s">
        <v>119</v>
      </c>
      <c r="G7" s="107" t="s">
        <v>120</v>
      </c>
      <c r="H7" s="33"/>
      <c r="I7" s="109" t="s">
        <v>121</v>
      </c>
      <c r="J7" s="109" t="s">
        <v>122</v>
      </c>
      <c r="K7" s="109" t="s">
        <v>123</v>
      </c>
      <c r="L7" s="33"/>
      <c r="M7" s="108" t="s">
        <v>124</v>
      </c>
      <c r="N7" s="108" t="s">
        <v>125</v>
      </c>
      <c r="O7" s="108" t="s">
        <v>126</v>
      </c>
      <c r="Q7"/>
      <c r="R7"/>
      <c r="S7"/>
      <c r="T7"/>
      <c r="U7"/>
      <c r="V7"/>
      <c r="W7"/>
      <c r="X7"/>
      <c r="Y7"/>
    </row>
    <row r="8" spans="2:26" ht="15.6" x14ac:dyDescent="0.3">
      <c r="B8" s="3">
        <v>1986</v>
      </c>
      <c r="C8" s="7">
        <f>INDEX(Main!$B$7:$K$57,MATCH($B8,Main!$B$7:$B$57,0),MATCH(C$7,Main!$B$7:$K$7,0))</f>
        <v>6831203</v>
      </c>
      <c r="D8" s="41">
        <v>13.782</v>
      </c>
      <c r="F8" s="3" t="s">
        <v>127</v>
      </c>
      <c r="G8" s="4">
        <f>_xlfn.FORECAST.ETS.STAT('2. Industry'!$D$8:$D$42,'2. Industry'!$B$8:$B$42,1,1,1)</f>
        <v>0.9</v>
      </c>
      <c r="H8" s="1"/>
      <c r="I8" s="7"/>
      <c r="J8" s="7"/>
      <c r="K8" s="7"/>
      <c r="L8" s="1"/>
      <c r="M8" s="7"/>
      <c r="N8" s="7"/>
      <c r="O8" s="7"/>
      <c r="Q8" s="18" t="s">
        <v>79</v>
      </c>
      <c r="R8" s="18"/>
    </row>
    <row r="9" spans="2:26" x14ac:dyDescent="0.25">
      <c r="B9" s="3">
        <v>1987</v>
      </c>
      <c r="C9" s="7">
        <f>INDEX(Main!$B$7:$K$57,MATCH($B9,Main!$B$7:$B$57,0),MATCH(C$7,Main!$B$7:$K$7,0))</f>
        <v>6409029</v>
      </c>
      <c r="D9" s="41">
        <v>16.617000000000001</v>
      </c>
      <c r="F9" s="3" t="s">
        <v>128</v>
      </c>
      <c r="G9" s="4">
        <f>_xlfn.FORECAST.ETS.STAT('2. Industry'!$D$8:$D$42,'2. Industry'!$B$8:$B$42,2,1,1)</f>
        <v>1E-3</v>
      </c>
      <c r="H9" s="1"/>
      <c r="I9" s="7"/>
      <c r="J9" s="7"/>
      <c r="K9" s="7"/>
      <c r="L9" s="1"/>
      <c r="M9" s="7"/>
      <c r="N9" s="7"/>
      <c r="O9" s="7"/>
      <c r="Q9" t="s">
        <v>86</v>
      </c>
      <c r="R9">
        <v>0.94180273800849545</v>
      </c>
    </row>
    <row r="10" spans="2:26" x14ac:dyDescent="0.25">
      <c r="B10" s="3">
        <v>1988</v>
      </c>
      <c r="C10" s="7">
        <f>INDEX(Main!$B$7:$K$57,MATCH($B10,Main!$B$7:$B$57,0),MATCH(C$7,Main!$B$7:$K$7,0))</f>
        <v>7537098</v>
      </c>
      <c r="D10" s="41">
        <v>18.693999999999999</v>
      </c>
      <c r="F10" s="3" t="s">
        <v>129</v>
      </c>
      <c r="G10" s="4">
        <f>_xlfn.FORECAST.ETS.STAT('2. Industry'!$D$8:$D$42,'2. Industry'!$B$8:$B$42,3,1,1)</f>
        <v>2.2204460492503131E-16</v>
      </c>
      <c r="H10" s="1"/>
      <c r="I10" s="7"/>
      <c r="J10" s="7"/>
      <c r="K10" s="7"/>
      <c r="L10" s="1"/>
      <c r="M10" s="7"/>
      <c r="N10" s="7"/>
      <c r="O10" s="7"/>
      <c r="Q10" t="s">
        <v>87</v>
      </c>
      <c r="R10">
        <v>0.88699239732029878</v>
      </c>
    </row>
    <row r="11" spans="2:26" x14ac:dyDescent="0.25">
      <c r="B11" s="3">
        <v>1989</v>
      </c>
      <c r="C11" s="7">
        <f>INDEX(Main!$B$7:$K$57,MATCH($B11,Main!$B$7:$B$57,0),MATCH(C$7,Main!$B$7:$K$7,0))</f>
        <v>7840329</v>
      </c>
      <c r="D11" s="41">
        <v>20.512</v>
      </c>
      <c r="F11" s="3" t="s">
        <v>130</v>
      </c>
      <c r="G11" s="4">
        <f>_xlfn.FORECAST.ETS.STAT('2. Industry'!$D$8:$D$42,'2. Industry'!$B$8:$B$42,4,1,1)</f>
        <v>1.1855998479202678</v>
      </c>
      <c r="H11" s="1"/>
      <c r="I11" s="7"/>
      <c r="J11" s="7"/>
      <c r="K11" s="7"/>
      <c r="L11" s="1"/>
      <c r="M11" s="7"/>
      <c r="N11" s="7"/>
      <c r="O11" s="7"/>
      <c r="Q11" t="s">
        <v>88</v>
      </c>
      <c r="R11">
        <v>0.88346090973655811</v>
      </c>
    </row>
    <row r="12" spans="2:26" x14ac:dyDescent="0.25">
      <c r="B12" s="3">
        <v>1990</v>
      </c>
      <c r="C12" s="7">
        <f>INDEX(Main!$B$7:$K$57,MATCH($B12,Main!$B$7:$B$57,0),MATCH(C$7,Main!$B$7:$K$7,0))</f>
        <v>11769301</v>
      </c>
      <c r="D12" s="41">
        <v>22.329000000000001</v>
      </c>
      <c r="F12" s="3" t="s">
        <v>131</v>
      </c>
      <c r="G12" s="4">
        <f>_xlfn.FORECAST.ETS.STAT('2. Industry'!$D$8:$D$42,'2. Industry'!$B$8:$B$42,5,1,1)</f>
        <v>5.3033912688554508E-2</v>
      </c>
      <c r="H12" s="1"/>
      <c r="I12" s="7"/>
      <c r="J12" s="7"/>
      <c r="K12" s="7"/>
      <c r="L12" s="1"/>
      <c r="M12" s="7"/>
      <c r="N12" s="7"/>
      <c r="O12" s="7"/>
      <c r="Q12" t="s">
        <v>89</v>
      </c>
      <c r="R12">
        <v>1740171.3916633544</v>
      </c>
    </row>
    <row r="13" spans="2:26" ht="15.6" thickBot="1" x14ac:dyDescent="0.3">
      <c r="B13" s="3">
        <v>1991</v>
      </c>
      <c r="C13" s="7">
        <f>INDEX(Main!$B$7:$K$57,MATCH($B13,Main!$B$7:$B$57,0),MATCH(C$7,Main!$B$7:$K$7,0))</f>
        <v>13049823</v>
      </c>
      <c r="D13" s="41">
        <v>22.783000000000001</v>
      </c>
      <c r="F13" s="3" t="s">
        <v>132</v>
      </c>
      <c r="G13" s="4">
        <f>_xlfn.FORECAST.ETS.STAT('2. Industry'!$D$8:$D$42,'2. Industry'!$B$8:$B$42,6,1,1)</f>
        <v>4.8738033748255676</v>
      </c>
      <c r="H13" s="1"/>
      <c r="I13" s="7"/>
      <c r="J13" s="7"/>
      <c r="K13" s="7"/>
      <c r="L13" s="1"/>
      <c r="M13" s="7"/>
      <c r="N13" s="7"/>
      <c r="O13" s="7"/>
      <c r="Q13" s="16" t="s">
        <v>90</v>
      </c>
      <c r="R13" s="16">
        <v>34</v>
      </c>
    </row>
    <row r="14" spans="2:26" x14ac:dyDescent="0.25">
      <c r="B14" s="3">
        <v>1992</v>
      </c>
      <c r="C14" s="7">
        <f>INDEX(Main!$B$7:$K$57,MATCH($B14,Main!$B$7:$B$57,0),MATCH(C$7,Main!$B$7:$K$7,0))</f>
        <v>13251783</v>
      </c>
      <c r="D14" s="41">
        <v>24.254999999999999</v>
      </c>
      <c r="F14" s="3" t="s">
        <v>133</v>
      </c>
      <c r="G14" s="4">
        <f>_xlfn.FORECAST.ETS.STAT('2. Industry'!$D$8:$D$42,'2. Industry'!$B$8:$B$42,7,1,1)</f>
        <v>5.3643554156865383</v>
      </c>
      <c r="H14" s="1"/>
      <c r="I14" s="7"/>
      <c r="J14" s="7"/>
      <c r="K14" s="7"/>
      <c r="L14" s="1"/>
      <c r="M14" s="7"/>
      <c r="N14" s="7"/>
      <c r="O14" s="7"/>
    </row>
    <row r="15" spans="2:26" ht="15.6" thickBot="1" x14ac:dyDescent="0.3">
      <c r="B15" s="3">
        <v>1993</v>
      </c>
      <c r="C15" s="7">
        <f>INDEX(Main!$B$7:$K$57,MATCH($B15,Main!$B$7:$B$57,0),MATCH(C$7,Main!$B$7:$K$7,0))</f>
        <v>14284268</v>
      </c>
      <c r="D15" s="41">
        <v>26.44</v>
      </c>
      <c r="H15" s="1"/>
      <c r="I15" s="7"/>
      <c r="J15" s="7"/>
      <c r="K15" s="7"/>
      <c r="L15" s="1"/>
      <c r="M15" s="7"/>
      <c r="N15" s="7"/>
      <c r="O15" s="7"/>
      <c r="Q15" t="s">
        <v>91</v>
      </c>
    </row>
    <row r="16" spans="2:26" ht="15.6" x14ac:dyDescent="0.3">
      <c r="B16" s="3">
        <v>1994</v>
      </c>
      <c r="C16" s="7">
        <f>INDEX(Main!$B$7:$K$57,MATCH($B16,Main!$B$7:$B$57,0),MATCH(C$7,Main!$B$7:$K$7,0))</f>
        <v>15055458</v>
      </c>
      <c r="D16" s="41">
        <v>29.684999999999999</v>
      </c>
      <c r="H16" s="1"/>
      <c r="I16" s="7"/>
      <c r="J16" s="7"/>
      <c r="K16" s="7"/>
      <c r="L16" s="1"/>
      <c r="M16" s="7"/>
      <c r="N16" s="7"/>
      <c r="O16" s="7"/>
      <c r="Q16" s="17"/>
      <c r="R16" s="17" t="s">
        <v>92</v>
      </c>
      <c r="S16" s="17" t="s">
        <v>93</v>
      </c>
      <c r="T16" s="17" t="s">
        <v>94</v>
      </c>
      <c r="U16" s="17" t="s">
        <v>95</v>
      </c>
      <c r="V16" s="17" t="s">
        <v>96</v>
      </c>
    </row>
    <row r="17" spans="2:25" x14ac:dyDescent="0.25">
      <c r="B17" s="3">
        <v>1995</v>
      </c>
      <c r="C17" s="7">
        <f>INDEX(Main!$B$7:$K$57,MATCH($B17,Main!$B$7:$B$57,0),MATCH(C$7,Main!$B$7:$K$7,0))</f>
        <v>13928595</v>
      </c>
      <c r="D17" s="41">
        <v>33.19</v>
      </c>
      <c r="H17" s="1"/>
      <c r="I17" s="7"/>
      <c r="J17" s="7"/>
      <c r="K17" s="7"/>
      <c r="L17" s="1"/>
      <c r="M17" s="7"/>
      <c r="N17" s="7"/>
      <c r="O17" s="7"/>
      <c r="Q17" t="s">
        <v>97</v>
      </c>
      <c r="R17">
        <v>1</v>
      </c>
      <c r="S17">
        <v>760582384869538.5</v>
      </c>
      <c r="T17">
        <v>760582384869538.5</v>
      </c>
      <c r="U17">
        <v>251.16678914690331</v>
      </c>
      <c r="V17">
        <v>1.0474226170479993E-16</v>
      </c>
    </row>
    <row r="18" spans="2:25" x14ac:dyDescent="0.25">
      <c r="B18" s="3">
        <v>1996</v>
      </c>
      <c r="C18" s="7">
        <f>INDEX(Main!$B$7:$K$57,MATCH($B18,Main!$B$7:$B$57,0),MATCH(C$7,Main!$B$7:$K$7,0))</f>
        <v>14902154</v>
      </c>
      <c r="D18" s="41">
        <v>32.973999999999997</v>
      </c>
      <c r="H18" s="1"/>
      <c r="I18" s="7"/>
      <c r="J18" s="7"/>
      <c r="K18" s="7"/>
      <c r="L18" s="1"/>
      <c r="M18" s="7"/>
      <c r="N18" s="7"/>
      <c r="O18" s="7"/>
      <c r="Q18" t="s">
        <v>98</v>
      </c>
      <c r="R18">
        <v>32</v>
      </c>
      <c r="S18">
        <v>96902287115634.406</v>
      </c>
      <c r="T18">
        <v>3028196472363.5752</v>
      </c>
    </row>
    <row r="19" spans="2:25" ht="15.6" thickBot="1" x14ac:dyDescent="0.3">
      <c r="B19" s="3">
        <v>1997</v>
      </c>
      <c r="C19" s="7">
        <f>INDEX(Main!$B$7:$K$57,MATCH($B19,Main!$B$7:$B$57,0),MATCH(C$7,Main!$B$7:$K$7,0))</f>
        <v>14984051</v>
      </c>
      <c r="D19" s="41">
        <v>35.872999999999998</v>
      </c>
      <c r="H19" s="1"/>
      <c r="I19" s="7"/>
      <c r="J19" s="7"/>
      <c r="K19" s="7"/>
      <c r="L19" s="1"/>
      <c r="M19" s="7"/>
      <c r="N19" s="7"/>
      <c r="O19" s="7"/>
      <c r="Q19" s="16" t="s">
        <v>99</v>
      </c>
      <c r="R19" s="16">
        <v>33</v>
      </c>
      <c r="S19" s="16">
        <v>857484671985172.88</v>
      </c>
      <c r="T19" s="16"/>
      <c r="U19" s="16"/>
      <c r="V19" s="16"/>
    </row>
    <row r="20" spans="2:25" ht="15.6" thickBot="1" x14ac:dyDescent="0.3">
      <c r="B20" s="3">
        <v>1998</v>
      </c>
      <c r="C20" s="7">
        <f>INDEX(Main!$B$7:$K$57,MATCH($B20,Main!$B$7:$B$57,0),MATCH(C$7,Main!$B$7:$K$7,0))</f>
        <v>13880970</v>
      </c>
      <c r="D20" s="41">
        <v>34.899000000000001</v>
      </c>
      <c r="H20" s="1"/>
      <c r="I20" s="7"/>
      <c r="J20" s="7"/>
      <c r="K20" s="7"/>
      <c r="L20" s="1"/>
      <c r="M20" s="7"/>
      <c r="N20" s="7"/>
      <c r="O20" s="7"/>
    </row>
    <row r="21" spans="2:25" ht="15.6" x14ac:dyDescent="0.3">
      <c r="B21" s="3">
        <v>1999</v>
      </c>
      <c r="C21" s="7">
        <f>INDEX(Main!$B$7:$K$57,MATCH($B21,Main!$B$7:$B$57,0),MATCH(C$7,Main!$B$7:$K$7,0))</f>
        <v>12770293</v>
      </c>
      <c r="D21" s="41">
        <v>40.698</v>
      </c>
      <c r="H21" s="1"/>
      <c r="I21" s="7"/>
      <c r="J21" s="7"/>
      <c r="K21" s="7"/>
      <c r="L21" s="1"/>
      <c r="M21" s="7"/>
      <c r="N21" s="7"/>
      <c r="O21" s="7"/>
      <c r="Q21" s="17"/>
      <c r="R21" s="17" t="s">
        <v>100</v>
      </c>
      <c r="S21" s="17" t="s">
        <v>89</v>
      </c>
      <c r="T21" s="17" t="s">
        <v>101</v>
      </c>
      <c r="U21" s="17" t="s">
        <v>102</v>
      </c>
      <c r="V21" s="17" t="s">
        <v>103</v>
      </c>
      <c r="W21" s="17" t="s">
        <v>104</v>
      </c>
      <c r="X21" s="17" t="s">
        <v>105</v>
      </c>
      <c r="Y21" s="17" t="s">
        <v>106</v>
      </c>
    </row>
    <row r="22" spans="2:25" x14ac:dyDescent="0.25">
      <c r="B22" s="3">
        <v>2000</v>
      </c>
      <c r="C22" s="7">
        <f>INDEX(Main!$B$7:$K$57,MATCH($B22,Main!$B$7:$B$57,0),MATCH(C$7,Main!$B$7:$K$7,0))</f>
        <v>15028666</v>
      </c>
      <c r="D22" s="41">
        <v>48.378999999999998</v>
      </c>
      <c r="H22" s="1"/>
      <c r="I22" s="14"/>
      <c r="J22" s="14"/>
      <c r="K22" s="14"/>
      <c r="L22" s="1"/>
      <c r="M22" s="7"/>
      <c r="N22" s="7"/>
      <c r="O22" s="7"/>
      <c r="Q22" t="s">
        <v>75</v>
      </c>
      <c r="R22">
        <v>7336539.3369174916</v>
      </c>
      <c r="S22">
        <v>656284.79780243232</v>
      </c>
      <c r="T22">
        <v>11.178895749960796</v>
      </c>
      <c r="U22">
        <v>1.3857927509265102E-12</v>
      </c>
      <c r="V22">
        <v>5999730.9494677465</v>
      </c>
      <c r="W22">
        <v>8673347.7243672367</v>
      </c>
      <c r="X22">
        <v>5999730.9494677465</v>
      </c>
      <c r="Y22">
        <v>8673347.7243672367</v>
      </c>
    </row>
    <row r="23" spans="2:25" ht="15.6" thickBot="1" x14ac:dyDescent="0.3">
      <c r="B23" s="3">
        <v>2001</v>
      </c>
      <c r="C23" s="7">
        <f>INDEX(Main!$B$7:$K$57,MATCH($B23,Main!$B$7:$B$57,0),MATCH(C$7,Main!$B$7:$K$7,0))</f>
        <v>14970881</v>
      </c>
      <c r="D23" s="41">
        <v>39.378999999999998</v>
      </c>
      <c r="H23" s="1"/>
      <c r="I23" s="5"/>
      <c r="J23" s="14"/>
      <c r="K23" s="14"/>
      <c r="L23" s="1"/>
      <c r="M23" s="7"/>
      <c r="N23" s="7"/>
      <c r="O23" s="7"/>
      <c r="Q23" s="16" t="s">
        <v>4</v>
      </c>
      <c r="R23" s="16">
        <v>173773.29922734454</v>
      </c>
      <c r="S23" s="16">
        <v>10964.83093564867</v>
      </c>
      <c r="T23" s="16">
        <v>15.848242462396367</v>
      </c>
      <c r="U23" s="16">
        <v>1.0474226170479993E-16</v>
      </c>
      <c r="V23" s="16">
        <v>151438.66948911894</v>
      </c>
      <c r="W23" s="16">
        <v>196107.92896557014</v>
      </c>
      <c r="X23" s="16">
        <v>151438.66948911894</v>
      </c>
      <c r="Y23" s="16">
        <v>196107.92896557014</v>
      </c>
    </row>
    <row r="24" spans="2:25" x14ac:dyDescent="0.25">
      <c r="B24" s="3">
        <v>2002</v>
      </c>
      <c r="C24" s="7">
        <f>INDEX(Main!$B$7:$K$57,MATCH($B24,Main!$B$7:$B$57,0),MATCH(C$7,Main!$B$7:$K$7,0))</f>
        <v>15522618</v>
      </c>
      <c r="D24" s="41">
        <v>43.359000000000002</v>
      </c>
      <c r="H24" s="1"/>
      <c r="I24" s="5"/>
      <c r="J24" s="14"/>
      <c r="K24" s="14"/>
      <c r="L24" s="1"/>
      <c r="M24" s="7"/>
      <c r="N24" s="7"/>
      <c r="O24" s="7"/>
    </row>
    <row r="25" spans="2:25" x14ac:dyDescent="0.25">
      <c r="B25" s="3">
        <v>2003</v>
      </c>
      <c r="C25" s="7">
        <f>INDEX(Main!$B$7:$K$57,MATCH($B25,Main!$B$7:$B$57,0),MATCH(C$7,Main!$B$7:$K$7,0))</f>
        <v>15322131</v>
      </c>
      <c r="D25" s="41">
        <v>47.34</v>
      </c>
      <c r="H25" s="1"/>
      <c r="I25" s="5"/>
      <c r="J25" s="14"/>
      <c r="K25" s="14"/>
      <c r="L25" s="1"/>
      <c r="M25" s="7"/>
      <c r="N25" s="7"/>
      <c r="O25" s="7"/>
    </row>
    <row r="26" spans="2:25" x14ac:dyDescent="0.25">
      <c r="B26" s="3">
        <v>2004</v>
      </c>
      <c r="C26" s="7">
        <f>INDEX(Main!$B$7:$K$57,MATCH($B26,Main!$B$7:$B$57,0),MATCH(C$7,Main!$B$7:$K$7,0))</f>
        <v>17601859</v>
      </c>
      <c r="D26" s="41">
        <v>54.069000000000003</v>
      </c>
      <c r="H26" s="1"/>
      <c r="I26" s="5"/>
      <c r="J26" s="14"/>
      <c r="K26" s="14"/>
      <c r="L26" s="1"/>
      <c r="M26" s="7"/>
      <c r="N26" s="7"/>
      <c r="O26" s="7"/>
    </row>
    <row r="27" spans="2:25" x14ac:dyDescent="0.25">
      <c r="B27" s="3">
        <v>2005</v>
      </c>
      <c r="C27" s="7">
        <f>INDEX(Main!$B$7:$K$57,MATCH($B27,Main!$B$7:$B$57,0),MATCH(C$7,Main!$B$7:$K$7,0))</f>
        <v>17140077</v>
      </c>
      <c r="D27" s="41">
        <v>61.923000000000002</v>
      </c>
      <c r="H27" s="1"/>
      <c r="I27" s="5"/>
      <c r="J27" s="14"/>
      <c r="K27" s="14"/>
      <c r="L27" s="1"/>
      <c r="M27" s="7"/>
      <c r="N27" s="7"/>
      <c r="O27" s="7"/>
      <c r="Q27" t="s">
        <v>107</v>
      </c>
    </row>
    <row r="28" spans="2:25" ht="15.6" thickBot="1" x14ac:dyDescent="0.3">
      <c r="B28" s="3">
        <v>2006</v>
      </c>
      <c r="C28" s="7">
        <f>INDEX(Main!$B$7:$K$57,MATCH($B28,Main!$B$7:$B$57,0),MATCH(C$7,Main!$B$7:$K$7,0))</f>
        <v>17811242</v>
      </c>
      <c r="D28" s="41">
        <v>67.116</v>
      </c>
      <c r="H28" s="1"/>
      <c r="I28" s="5"/>
      <c r="J28" s="14"/>
      <c r="K28" s="14"/>
      <c r="L28" s="1"/>
      <c r="M28" s="7"/>
      <c r="N28" s="7"/>
      <c r="O28" s="7"/>
    </row>
    <row r="29" spans="2:25" ht="15.6" x14ac:dyDescent="0.3">
      <c r="B29" s="3">
        <v>2007</v>
      </c>
      <c r="C29" s="7">
        <f>INDEX(Main!$B$7:$K$57,MATCH($B29,Main!$B$7:$B$57,0),MATCH(C$7,Main!$B$7:$K$7,0))</f>
        <v>18426257</v>
      </c>
      <c r="D29" s="41">
        <v>66.293999999999997</v>
      </c>
      <c r="H29" s="1"/>
      <c r="I29" s="5"/>
      <c r="J29" s="14"/>
      <c r="K29" s="14"/>
      <c r="L29" s="1"/>
      <c r="M29" s="7"/>
      <c r="N29" s="7"/>
      <c r="O29" s="7"/>
      <c r="Q29" s="17" t="s">
        <v>108</v>
      </c>
      <c r="R29" s="17" t="s">
        <v>134</v>
      </c>
      <c r="S29" s="17" t="s">
        <v>110</v>
      </c>
      <c r="T29" s="17" t="s">
        <v>111</v>
      </c>
    </row>
    <row r="30" spans="2:25" x14ac:dyDescent="0.25">
      <c r="B30" s="3">
        <v>2008</v>
      </c>
      <c r="C30" s="7">
        <f>INDEX(Main!$B$7:$K$57,MATCH($B30,Main!$B$7:$B$57,0),MATCH(C$7,Main!$B$7:$K$7,0))</f>
        <v>19023860</v>
      </c>
      <c r="D30" s="41">
        <v>59.176000000000002</v>
      </c>
      <c r="H30" s="1"/>
      <c r="I30" s="5"/>
      <c r="J30" s="14"/>
      <c r="K30" s="14"/>
      <c r="L30" s="1"/>
      <c r="M30" s="7"/>
      <c r="N30" s="7"/>
      <c r="O30" s="7"/>
      <c r="Q30">
        <v>1</v>
      </c>
      <c r="R30">
        <v>9731482.9468687549</v>
      </c>
      <c r="S30">
        <v>-2900279.9468687549</v>
      </c>
      <c r="T30">
        <v>-1.6925046711947316</v>
      </c>
    </row>
    <row r="31" spans="2:25" x14ac:dyDescent="0.25">
      <c r="B31" s="3">
        <v>2009</v>
      </c>
      <c r="C31" s="7">
        <f>INDEX(Main!$B$7:$K$57,MATCH($B31,Main!$B$7:$B$57,0),MATCH(C$7,Main!$B$7:$K$7,0))</f>
        <v>19832811</v>
      </c>
      <c r="D31" s="41">
        <v>60.625999999999998</v>
      </c>
      <c r="H31" s="1"/>
      <c r="I31" s="5"/>
      <c r="J31" s="14"/>
      <c r="K31" s="14"/>
      <c r="L31" s="1"/>
      <c r="M31" s="7"/>
      <c r="N31" s="7"/>
      <c r="O31" s="7"/>
      <c r="Q31">
        <v>2</v>
      </c>
      <c r="R31">
        <v>10224130.250178276</v>
      </c>
      <c r="S31">
        <v>-3815101.2501782756</v>
      </c>
      <c r="T31">
        <v>-2.2263632495128207</v>
      </c>
    </row>
    <row r="32" spans="2:25" x14ac:dyDescent="0.25">
      <c r="B32" s="3">
        <v>2010</v>
      </c>
      <c r="C32" s="7">
        <f>INDEX(Main!$B$7:$K$57,MATCH($B32,Main!$B$7:$B$57,0),MATCH(C$7,Main!$B$7:$K$7,0))</f>
        <v>21316906</v>
      </c>
      <c r="D32" s="41">
        <v>76.182000000000002</v>
      </c>
      <c r="H32" s="1"/>
      <c r="I32" s="5"/>
      <c r="J32" s="14"/>
      <c r="K32" s="14"/>
      <c r="L32" s="1"/>
      <c r="M32" s="7"/>
      <c r="N32" s="7"/>
      <c r="O32" s="7"/>
      <c r="Q32">
        <v>3</v>
      </c>
      <c r="R32">
        <v>10585057.39267347</v>
      </c>
      <c r="S32">
        <v>-3047959.3926734701</v>
      </c>
      <c r="T32">
        <v>-1.7786853697627378</v>
      </c>
    </row>
    <row r="33" spans="2:20" x14ac:dyDescent="0.25">
      <c r="B33" s="3">
        <v>2011</v>
      </c>
      <c r="C33" s="7">
        <f>INDEX(Main!$B$7:$K$57,MATCH($B33,Main!$B$7:$B$57,0),MATCH(C$7,Main!$B$7:$K$7,0))</f>
        <v>23073294</v>
      </c>
      <c r="D33" s="41">
        <v>83.293999999999997</v>
      </c>
      <c r="H33" s="1"/>
      <c r="I33" s="5"/>
      <c r="J33" s="14"/>
      <c r="K33" s="14"/>
      <c r="L33" s="1"/>
      <c r="M33" s="7"/>
      <c r="N33" s="7"/>
      <c r="O33" s="7"/>
      <c r="Q33">
        <v>4</v>
      </c>
      <c r="R33">
        <v>10900977.250668783</v>
      </c>
      <c r="S33">
        <v>-3060648.2506687827</v>
      </c>
      <c r="T33">
        <v>-1.7860901554464026</v>
      </c>
    </row>
    <row r="34" spans="2:20" x14ac:dyDescent="0.25">
      <c r="B34" s="3">
        <v>2012</v>
      </c>
      <c r="C34" s="7">
        <f>INDEX(Main!$B$7:$K$57,MATCH($B34,Main!$B$7:$B$57,0),MATCH(C$7,Main!$B$7:$K$7,0))</f>
        <v>23134961</v>
      </c>
      <c r="D34" s="41">
        <v>83.111000000000004</v>
      </c>
      <c r="H34" s="1"/>
      <c r="I34" s="5"/>
      <c r="J34" s="14"/>
      <c r="K34" s="14"/>
      <c r="L34" s="1"/>
      <c r="M34" s="7"/>
      <c r="N34" s="7"/>
      <c r="O34" s="7"/>
      <c r="Q34">
        <v>5</v>
      </c>
      <c r="R34">
        <v>11216723.335364867</v>
      </c>
      <c r="S34">
        <v>552577.664635133</v>
      </c>
      <c r="T34">
        <v>0.32246551909671928</v>
      </c>
    </row>
    <row r="35" spans="2:20" x14ac:dyDescent="0.25">
      <c r="B35" s="3">
        <v>2013</v>
      </c>
      <c r="C35" s="7">
        <f>INDEX(Main!$B$7:$K$57,MATCH($B35,Main!$B$7:$B$57,0),MATCH(C$7,Main!$B$7:$K$7,0))</f>
        <v>24013085</v>
      </c>
      <c r="D35" s="41">
        <v>89.049000000000007</v>
      </c>
      <c r="H35" s="1"/>
      <c r="I35" s="5"/>
      <c r="J35" s="14"/>
      <c r="K35" s="14"/>
      <c r="L35" s="1"/>
      <c r="M35" s="7"/>
      <c r="N35" s="7"/>
      <c r="O35" s="7"/>
      <c r="Q35">
        <v>6</v>
      </c>
      <c r="R35">
        <v>11295616.413214082</v>
      </c>
      <c r="S35">
        <v>1754206.5867859181</v>
      </c>
      <c r="T35">
        <v>1.0236952627904674</v>
      </c>
    </row>
    <row r="36" spans="2:20" x14ac:dyDescent="0.25">
      <c r="B36" s="3">
        <v>2014</v>
      </c>
      <c r="C36" s="7">
        <f>INDEX(Main!$B$7:$K$57,MATCH($B36,Main!$B$7:$B$57,0),MATCH(C$7,Main!$B$7:$K$7,0))</f>
        <v>22981800</v>
      </c>
      <c r="D36" s="41">
        <v>88.019000000000005</v>
      </c>
      <c r="H36" s="1"/>
      <c r="I36" s="5"/>
      <c r="J36" s="14"/>
      <c r="K36" s="14"/>
      <c r="L36" s="1"/>
      <c r="M36" s="7"/>
      <c r="N36" s="7"/>
      <c r="O36" s="7"/>
      <c r="Q36">
        <v>7</v>
      </c>
      <c r="R36">
        <v>11551410.709676733</v>
      </c>
      <c r="S36">
        <v>1700372.2903232668</v>
      </c>
      <c r="T36">
        <v>0.99227939952806388</v>
      </c>
    </row>
    <row r="37" spans="2:20" x14ac:dyDescent="0.25">
      <c r="B37" s="3">
        <v>2015</v>
      </c>
      <c r="C37" s="7">
        <f>INDEX(Main!$B$7:$K$57,MATCH($B37,Main!$B$7:$B$57,0),MATCH(C$7,Main!$B$7:$K$7,0))</f>
        <v>22147352</v>
      </c>
      <c r="D37" s="41">
        <v>82.552999999999997</v>
      </c>
      <c r="H37" s="1"/>
      <c r="I37" s="5"/>
      <c r="J37" s="14"/>
      <c r="K37" s="14"/>
      <c r="L37" s="1"/>
      <c r="M37" s="7"/>
      <c r="N37" s="7"/>
      <c r="O37" s="7"/>
      <c r="Q37">
        <v>8</v>
      </c>
      <c r="R37">
        <v>11931105.368488481</v>
      </c>
      <c r="S37">
        <v>2353162.6315115187</v>
      </c>
      <c r="T37">
        <v>1.3732256261034519</v>
      </c>
    </row>
    <row r="38" spans="2:20" x14ac:dyDescent="0.25">
      <c r="B38" s="3">
        <v>2016</v>
      </c>
      <c r="C38" s="7">
        <f>INDEX(Main!$B$7:$K$57,MATCH($B38,Main!$B$7:$B$57,0),MATCH(C$7,Main!$B$7:$K$7,0))</f>
        <v>22244623</v>
      </c>
      <c r="D38" s="41">
        <v>92.265000000000001</v>
      </c>
      <c r="H38" s="1"/>
      <c r="I38" s="5"/>
      <c r="J38" s="14"/>
      <c r="K38" s="14"/>
      <c r="L38" s="1"/>
      <c r="M38" s="7"/>
      <c r="N38" s="7"/>
      <c r="O38" s="7"/>
      <c r="Q38">
        <v>9</v>
      </c>
      <c r="R38">
        <v>12494999.724481214</v>
      </c>
      <c r="S38">
        <v>2560458.2755187862</v>
      </c>
      <c r="T38">
        <v>1.4941963090126686</v>
      </c>
    </row>
    <row r="39" spans="2:20" x14ac:dyDescent="0.25">
      <c r="B39" s="3">
        <v>2017</v>
      </c>
      <c r="C39" s="7">
        <f>INDEX(Main!$B$7:$K$57,MATCH($B39,Main!$B$7:$B$57,0),MATCH(C$7,Main!$B$7:$K$7,0))</f>
        <v>22885852</v>
      </c>
      <c r="D39" s="41">
        <v>97.581000000000003</v>
      </c>
      <c r="H39" s="1"/>
      <c r="I39" s="5"/>
      <c r="J39" s="14"/>
      <c r="K39" s="14"/>
      <c r="L39" s="1"/>
      <c r="M39" s="7"/>
      <c r="N39" s="7"/>
      <c r="O39" s="7"/>
      <c r="Q39">
        <v>10</v>
      </c>
      <c r="R39">
        <v>13104075.138273057</v>
      </c>
      <c r="S39">
        <v>824519.8617269434</v>
      </c>
      <c r="T39">
        <v>0.4811617302572192</v>
      </c>
    </row>
    <row r="40" spans="2:20" x14ac:dyDescent="0.25">
      <c r="B40" s="3">
        <v>2018</v>
      </c>
      <c r="C40" s="7">
        <f>INDEX(Main!$B$7:$K$57,MATCH($B40,Main!$B$7:$B$57,0),MATCH(C$7,Main!$B$7:$K$7,0))</f>
        <v>22741621</v>
      </c>
      <c r="D40" s="41">
        <v>102.051</v>
      </c>
      <c r="H40" s="1"/>
      <c r="I40" s="5"/>
      <c r="J40" s="14"/>
      <c r="K40" s="14"/>
      <c r="L40" s="1"/>
      <c r="M40" s="7"/>
      <c r="N40" s="7"/>
      <c r="O40" s="7"/>
      <c r="Q40">
        <v>11</v>
      </c>
      <c r="R40">
        <v>13066540.105639949</v>
      </c>
      <c r="S40">
        <v>1835613.8943600506</v>
      </c>
      <c r="T40">
        <v>1.0712017969398206</v>
      </c>
    </row>
    <row r="41" spans="2:20" x14ac:dyDescent="0.25">
      <c r="B41" s="3">
        <v>2019</v>
      </c>
      <c r="C41" s="7">
        <f>INDEX(Main!$B$7:$K$57,MATCH($B41,Main!$B$7:$B$57,0),MATCH(C$7,Main!$B$7:$K$7,0))</f>
        <v>22682460</v>
      </c>
      <c r="D41" s="41">
        <v>97.947000000000003</v>
      </c>
      <c r="H41" s="1"/>
      <c r="I41" s="5"/>
      <c r="J41" s="14"/>
      <c r="K41" s="14"/>
      <c r="L41" s="1"/>
      <c r="M41" s="42">
        <f>$C$41</f>
        <v>22682460</v>
      </c>
      <c r="N41" s="42">
        <f t="shared" ref="N41:O41" si="0">$C$41</f>
        <v>22682460</v>
      </c>
      <c r="O41" s="42">
        <f t="shared" si="0"/>
        <v>22682460</v>
      </c>
      <c r="Q41">
        <v>12</v>
      </c>
      <c r="R41">
        <v>13570308.900100023</v>
      </c>
      <c r="S41">
        <v>1413742.0998999774</v>
      </c>
      <c r="T41">
        <v>0.82501177533867887</v>
      </c>
    </row>
    <row r="42" spans="2:20" x14ac:dyDescent="0.25">
      <c r="B42" s="3">
        <v>2020</v>
      </c>
      <c r="C42" s="3"/>
      <c r="D42" s="41">
        <v>109.14</v>
      </c>
      <c r="H42" s="1"/>
      <c r="I42" s="41">
        <v>109.14</v>
      </c>
      <c r="J42" s="41">
        <v>109.14</v>
      </c>
      <c r="K42" s="41">
        <v>109.14</v>
      </c>
      <c r="L42" s="1"/>
      <c r="M42" s="11">
        <f>$N$4+$N$5*I42</f>
        <v>26302157.214589871</v>
      </c>
      <c r="N42" s="11">
        <f t="shared" ref="N42:N72" si="1">$N$4+$N$5*J42</f>
        <v>26302157.214589871</v>
      </c>
      <c r="O42" s="11">
        <f t="shared" ref="O42:O72" si="2">$N$4+$N$5*K42</f>
        <v>26302157.214589871</v>
      </c>
      <c r="Q42">
        <v>13</v>
      </c>
      <c r="R42">
        <v>13401053.706652589</v>
      </c>
      <c r="S42">
        <v>479916.29334741086</v>
      </c>
      <c r="T42">
        <v>0.28006281571194508</v>
      </c>
    </row>
    <row r="43" spans="2:20" x14ac:dyDescent="0.25">
      <c r="B43" s="3">
        <v>2021</v>
      </c>
      <c r="C43" s="3"/>
      <c r="D43" s="3"/>
      <c r="H43" s="1"/>
      <c r="I43" s="41">
        <f>_xlfn.FORECAST.ETS('2. Industry'!B43,'2. Industry'!$D$8:$D$42,'2. Industry'!$B$8:$B$42,1,1)</f>
        <v>111.12994733058339</v>
      </c>
      <c r="J43" s="41">
        <f>I43-_xlfn.FORECAST.ETS.CONFINT('2. Industry'!B43,'2. Industry'!$D$8:$D$42,'2. Industry'!$B$8:$B$42,0.95,1,1)</f>
        <v>101.64927344995586</v>
      </c>
      <c r="K43" s="41">
        <f>I43+_xlfn.FORECAST.ETS.CONFINT('2. Industry'!B43,'2. Industry'!$D$8:$D$42,'2. Industry'!$B$8:$B$42,0.95,1,1)</f>
        <v>120.61062121121093</v>
      </c>
      <c r="L43" s="1"/>
      <c r="M43" s="11">
        <f t="shared" ref="M43:M72" si="3">$N$4+$N$5*I43</f>
        <v>26647956.927514002</v>
      </c>
      <c r="N43" s="11">
        <f t="shared" si="1"/>
        <v>25000468.948378839</v>
      </c>
      <c r="O43" s="11">
        <f t="shared" si="2"/>
        <v>28295444.906649157</v>
      </c>
      <c r="Q43">
        <v>14</v>
      </c>
      <c r="R43">
        <v>14408765.06887196</v>
      </c>
      <c r="S43">
        <v>-1638472.06887196</v>
      </c>
      <c r="T43">
        <v>-0.95615653695149283</v>
      </c>
    </row>
    <row r="44" spans="2:20" x14ac:dyDescent="0.25">
      <c r="B44" s="3">
        <v>2022</v>
      </c>
      <c r="C44" s="3"/>
      <c r="D44" s="3"/>
      <c r="H44" s="1"/>
      <c r="I44" s="41">
        <f>_xlfn.FORECAST.ETS('2. Industry'!B44,'2. Industry'!$D$8:$D$42,'2. Industry'!$B$8:$B$42,1,1)</f>
        <v>113.89663027250091</v>
      </c>
      <c r="J44" s="41">
        <f>I44-_xlfn.FORECAST.ETS.CONFINT('2. Industry'!B44,'2. Industry'!$D$8:$D$42,'2. Industry'!$B$8:$B$42,0.95,1,1)</f>
        <v>101.13534388005739</v>
      </c>
      <c r="K44" s="41">
        <f>I44+_xlfn.FORECAST.ETS.CONFINT('2. Industry'!B44,'2. Industry'!$D$8:$D$42,'2. Industry'!$B$8:$B$42,0.95,1,1)</f>
        <v>126.65791666494444</v>
      </c>
      <c r="L44" s="1"/>
      <c r="M44" s="11">
        <f t="shared" si="3"/>
        <v>27128732.550247021</v>
      </c>
      <c r="N44" s="11">
        <f t="shared" si="1"/>
        <v>24911161.71144709</v>
      </c>
      <c r="O44" s="11">
        <f t="shared" si="2"/>
        <v>29346303.389046952</v>
      </c>
      <c r="Q44">
        <v>15</v>
      </c>
      <c r="R44">
        <v>15743517.780237192</v>
      </c>
      <c r="S44">
        <v>-714851.78023719229</v>
      </c>
      <c r="T44">
        <v>-0.41716317025518784</v>
      </c>
    </row>
    <row r="45" spans="2:20" x14ac:dyDescent="0.25">
      <c r="B45" s="3">
        <v>2023</v>
      </c>
      <c r="C45" s="3"/>
      <c r="D45" s="3"/>
      <c r="H45" s="1"/>
      <c r="I45" s="41">
        <f>_xlfn.FORECAST.ETS('2. Industry'!B45,'2. Industry'!$D$8:$D$42,'2. Industry'!$B$8:$B$42,1,1)</f>
        <v>116.66331321441845</v>
      </c>
      <c r="J45" s="41">
        <f>I45-_xlfn.FORECAST.ETS.CONFINT('2. Industry'!B45,'2. Industry'!$D$8:$D$42,'2. Industry'!$B$8:$B$42,0.95,1,1)</f>
        <v>101.30168104470215</v>
      </c>
      <c r="K45" s="41">
        <f>I45+_xlfn.FORECAST.ETS.CONFINT('2. Industry'!B45,'2. Industry'!$D$8:$D$42,'2. Industry'!$B$8:$B$42,0.95,1,1)</f>
        <v>132.02494538413475</v>
      </c>
      <c r="L45" s="1"/>
      <c r="M45" s="11">
        <f t="shared" si="3"/>
        <v>27609508.172980048</v>
      </c>
      <c r="N45" s="11">
        <f t="shared" si="1"/>
        <v>24940066.669331536</v>
      </c>
      <c r="O45" s="11">
        <f t="shared" si="2"/>
        <v>30278949.67662856</v>
      </c>
      <c r="Q45">
        <v>16</v>
      </c>
      <c r="R45">
        <v>14179558.087191092</v>
      </c>
      <c r="S45">
        <v>791322.91280890815</v>
      </c>
      <c r="T45">
        <v>0.46178912066694572</v>
      </c>
    </row>
    <row r="46" spans="2:20" x14ac:dyDescent="0.25">
      <c r="B46" s="3">
        <v>2024</v>
      </c>
      <c r="C46" s="3"/>
      <c r="D46" s="3"/>
      <c r="H46" s="1"/>
      <c r="I46" s="41">
        <f>_xlfn.FORECAST.ETS('2. Industry'!B46,'2. Industry'!$D$8:$D$42,'2. Industry'!$B$8:$B$42,1,1)</f>
        <v>119.42999615633599</v>
      </c>
      <c r="J46" s="41">
        <f>I46-_xlfn.FORECAST.ETS.CONFINT('2. Industry'!B46,'2. Industry'!$D$8:$D$42,'2. Industry'!$B$8:$B$42,0.95,1,1)</f>
        <v>101.8438853133934</v>
      </c>
      <c r="K46" s="41">
        <f>I46+_xlfn.FORECAST.ETS.CONFINT('2. Industry'!B46,'2. Industry'!$D$8:$D$42,'2. Industry'!$B$8:$B$42,0.95,1,1)</f>
        <v>137.01610699927858</v>
      </c>
      <c r="L46" s="1"/>
      <c r="M46" s="11">
        <f t="shared" si="3"/>
        <v>28090283.795713075</v>
      </c>
      <c r="N46" s="11">
        <f t="shared" si="1"/>
        <v>25034287.293957166</v>
      </c>
      <c r="O46" s="11">
        <f t="shared" si="2"/>
        <v>31146280.297468983</v>
      </c>
      <c r="Q46">
        <v>17</v>
      </c>
      <c r="R46">
        <v>14871175.818115924</v>
      </c>
      <c r="S46">
        <v>651442.18188407645</v>
      </c>
      <c r="T46">
        <v>0.38015948668764193</v>
      </c>
    </row>
    <row r="47" spans="2:20" x14ac:dyDescent="0.25">
      <c r="B47" s="3">
        <v>2025</v>
      </c>
      <c r="C47" s="3"/>
      <c r="D47" s="3"/>
      <c r="H47" s="1"/>
      <c r="I47" s="41">
        <f>_xlfn.FORECAST.ETS('2. Industry'!B47,'2. Industry'!$D$8:$D$42,'2. Industry'!$B$8:$B$42,1,1)</f>
        <v>122.19667909825351</v>
      </c>
      <c r="J47" s="41">
        <f>I47-_xlfn.FORECAST.ETS.CONFINT('2. Industry'!B47,'2. Industry'!$D$8:$D$42,'2. Industry'!$B$8:$B$42,0.95,1,1)</f>
        <v>102.63331371434988</v>
      </c>
      <c r="K47" s="41">
        <f>I47+_xlfn.FORECAST.ETS.CONFINT('2. Industry'!B47,'2. Industry'!$D$8:$D$42,'2. Industry'!$B$8:$B$42,0.95,1,1)</f>
        <v>141.76004448215716</v>
      </c>
      <c r="L47" s="1"/>
      <c r="M47" s="11">
        <f t="shared" si="3"/>
        <v>28571059.418446094</v>
      </c>
      <c r="N47" s="11">
        <f t="shared" si="1"/>
        <v>25171468.871695139</v>
      </c>
      <c r="O47" s="11">
        <f t="shared" si="2"/>
        <v>31970649.965197057</v>
      </c>
      <c r="Q47">
        <v>18</v>
      </c>
      <c r="R47">
        <v>15562967.322339982</v>
      </c>
      <c r="S47">
        <v>-240836.32233998179</v>
      </c>
      <c r="T47">
        <v>-0.14054388128768625</v>
      </c>
    </row>
    <row r="48" spans="2:20" x14ac:dyDescent="0.25">
      <c r="B48" s="3">
        <v>2026</v>
      </c>
      <c r="C48" s="3"/>
      <c r="D48" s="3"/>
      <c r="H48" s="1"/>
      <c r="I48" s="41">
        <f>_xlfn.FORECAST.ETS('2. Industry'!B48,'2. Industry'!$D$8:$D$42,'2. Industry'!$B$8:$B$42,1,1)</f>
        <v>124.96336204017105</v>
      </c>
      <c r="J48" s="41">
        <f>I48-_xlfn.FORECAST.ETS.CONFINT('2. Industry'!B48,'2. Industry'!$D$8:$D$42,'2. Industry'!$B$8:$B$42,0.95,1,1)</f>
        <v>103.60120310490457</v>
      </c>
      <c r="K48" s="41">
        <f>I48+_xlfn.FORECAST.ETS.CONFINT('2. Industry'!B48,'2. Industry'!$D$8:$D$42,'2. Industry'!$B$8:$B$42,0.95,1,1)</f>
        <v>146.32552097543754</v>
      </c>
      <c r="L48" s="1"/>
      <c r="M48" s="11">
        <f t="shared" si="3"/>
        <v>29051835.041179121</v>
      </c>
      <c r="N48" s="11">
        <f t="shared" si="1"/>
        <v>25339662.20437897</v>
      </c>
      <c r="O48" s="11">
        <f t="shared" si="2"/>
        <v>32764007.877979279</v>
      </c>
      <c r="Q48">
        <v>19</v>
      </c>
      <c r="R48">
        <v>16732287.852840785</v>
      </c>
      <c r="S48">
        <v>869571.14715921506</v>
      </c>
      <c r="T48">
        <v>0.50745212719623489</v>
      </c>
    </row>
    <row r="49" spans="2:20" x14ac:dyDescent="0.25">
      <c r="B49" s="3">
        <v>2027</v>
      </c>
      <c r="C49" s="3"/>
      <c r="D49" s="3"/>
      <c r="H49" s="1"/>
      <c r="I49" s="41">
        <f>_xlfn.FORECAST.ETS('2. Industry'!B49,'2. Industry'!$D$8:$D$42,'2. Industry'!$B$8:$B$42,1,1)</f>
        <v>127.73004498208857</v>
      </c>
      <c r="J49" s="41">
        <f>I49-_xlfn.FORECAST.ETS.CONFINT('2. Industry'!B49,'2. Industry'!$D$8:$D$42,'2. Industry'!$B$8:$B$42,0.95,1,1)</f>
        <v>104.70568436032499</v>
      </c>
      <c r="K49" s="41">
        <f>I49+_xlfn.FORECAST.ETS.CONFINT('2. Industry'!B49,'2. Industry'!$D$8:$D$42,'2. Industry'!$B$8:$B$42,0.95,1,1)</f>
        <v>150.75440560385215</v>
      </c>
      <c r="L49" s="1"/>
      <c r="M49" s="11">
        <f t="shared" si="3"/>
        <v>29532610.663912147</v>
      </c>
      <c r="N49" s="11">
        <f t="shared" si="1"/>
        <v>25531591.556068137</v>
      </c>
      <c r="O49" s="11">
        <f t="shared" si="2"/>
        <v>33533629.771756157</v>
      </c>
      <c r="Q49">
        <v>20</v>
      </c>
      <c r="R49">
        <v>18097103.34497235</v>
      </c>
      <c r="S49">
        <v>-957026.3449723497</v>
      </c>
      <c r="T49">
        <v>-0.55848800426003198</v>
      </c>
    </row>
    <row r="50" spans="2:20" x14ac:dyDescent="0.25">
      <c r="B50" s="3">
        <v>2028</v>
      </c>
      <c r="C50" s="3"/>
      <c r="D50" s="3"/>
      <c r="H50" s="1"/>
      <c r="I50" s="41">
        <f>_xlfn.FORECAST.ETS('2. Industry'!B50,'2. Industry'!$D$8:$D$42,'2. Industry'!$B$8:$B$42,1,1)</f>
        <v>130.49672792400611</v>
      </c>
      <c r="J50" s="41">
        <f>I50-_xlfn.FORECAST.ETS.CONFINT('2. Industry'!B50,'2. Industry'!$D$8:$D$42,'2. Industry'!$B$8:$B$42,0.95,1,1)</f>
        <v>105.91902485991226</v>
      </c>
      <c r="K50" s="41">
        <f>I50+_xlfn.FORECAST.ETS.CONFINT('2. Industry'!B50,'2. Industry'!$D$8:$D$42,'2. Industry'!$B$8:$B$42,0.95,1,1)</f>
        <v>155.07443098809998</v>
      </c>
      <c r="L50" s="1"/>
      <c r="M50" s="11">
        <f t="shared" si="3"/>
        <v>30013386.286645174</v>
      </c>
      <c r="N50" s="11">
        <f t="shared" si="1"/>
        <v>25742437.73776757</v>
      </c>
      <c r="O50" s="11">
        <f t="shared" si="2"/>
        <v>34284334.835522778</v>
      </c>
      <c r="Q50">
        <v>21</v>
      </c>
      <c r="R50">
        <v>18999508.087859947</v>
      </c>
      <c r="S50">
        <v>-1188266.0878599472</v>
      </c>
      <c r="T50">
        <v>-0.69343164838158278</v>
      </c>
    </row>
    <row r="51" spans="2:20" x14ac:dyDescent="0.25">
      <c r="B51" s="3">
        <v>2029</v>
      </c>
      <c r="C51" s="3"/>
      <c r="D51" s="3"/>
      <c r="H51" s="1"/>
      <c r="I51" s="41">
        <f>_xlfn.FORECAST.ETS('2. Industry'!B51,'2. Industry'!$D$8:$D$42,'2. Industry'!$B$8:$B$42,1,1)</f>
        <v>133.26341086592365</v>
      </c>
      <c r="J51" s="41">
        <f>I51-_xlfn.FORECAST.ETS.CONFINT('2. Industry'!B51,'2. Industry'!$D$8:$D$42,'2. Industry'!$B$8:$B$42,0.95,1,1)</f>
        <v>107.22173404319977</v>
      </c>
      <c r="K51" s="41">
        <f>I51+_xlfn.FORECAST.ETS.CONFINT('2. Industry'!B51,'2. Industry'!$D$8:$D$42,'2. Industry'!$B$8:$B$42,0.95,1,1)</f>
        <v>159.30508768864752</v>
      </c>
      <c r="L51" s="1"/>
      <c r="M51" s="11">
        <f t="shared" si="3"/>
        <v>30494161.909378201</v>
      </c>
      <c r="N51" s="11">
        <f t="shared" si="1"/>
        <v>25968813.810481198</v>
      </c>
      <c r="O51" s="11">
        <f t="shared" si="2"/>
        <v>35019510.008275196</v>
      </c>
      <c r="Q51">
        <v>22</v>
      </c>
      <c r="R51">
        <v>18856666.43589507</v>
      </c>
      <c r="S51">
        <v>-430409.43589507043</v>
      </c>
      <c r="T51">
        <v>-0.25117229857937612</v>
      </c>
    </row>
    <row r="52" spans="2:20" x14ac:dyDescent="0.25">
      <c r="B52" s="3">
        <v>2030</v>
      </c>
      <c r="C52" s="3"/>
      <c r="D52" s="3"/>
      <c r="H52" s="1"/>
      <c r="I52" s="41">
        <f>_xlfn.FORECAST.ETS('2. Industry'!B52,'2. Industry'!$D$8:$D$42,'2. Industry'!$B$8:$B$42,1,1)</f>
        <v>136.03009380784118</v>
      </c>
      <c r="J52" s="41">
        <f>I52-_xlfn.FORECAST.ETS.CONFINT('2. Industry'!B52,'2. Industry'!$D$8:$D$42,'2. Industry'!$B$8:$B$42,0.95,1,1)</f>
        <v>108.59949605087192</v>
      </c>
      <c r="K52" s="41">
        <f>I52+_xlfn.FORECAST.ETS.CONFINT('2. Industry'!B52,'2. Industry'!$D$8:$D$42,'2. Industry'!$B$8:$B$42,0.95,1,1)</f>
        <v>163.46069156481045</v>
      </c>
      <c r="L52" s="1"/>
      <c r="M52" s="11">
        <f t="shared" si="3"/>
        <v>30974937.532111228</v>
      </c>
      <c r="N52" s="11">
        <f t="shared" si="1"/>
        <v>26208232.060104482</v>
      </c>
      <c r="O52" s="11">
        <f t="shared" si="2"/>
        <v>35741643.004117973</v>
      </c>
      <c r="Q52">
        <v>23</v>
      </c>
      <c r="R52">
        <v>17619748.091994833</v>
      </c>
      <c r="S52">
        <v>1404111.9080051668</v>
      </c>
      <c r="T52">
        <v>0.81939192309508224</v>
      </c>
    </row>
    <row r="53" spans="2:20" x14ac:dyDescent="0.25">
      <c r="B53" s="3">
        <v>2031</v>
      </c>
      <c r="C53" s="3"/>
      <c r="D53" s="3"/>
      <c r="H53" s="1"/>
      <c r="I53" s="41">
        <f>_xlfn.FORECAST.ETS('2. Industry'!B53,'2. Industry'!$D$8:$D$42,'2. Industry'!$B$8:$B$42,1,1)</f>
        <v>138.79677674975872</v>
      </c>
      <c r="J53" s="41">
        <f>I53-_xlfn.FORECAST.ETS.CONFINT('2. Industry'!B53,'2. Industry'!$D$8:$D$42,'2. Industry'!$B$8:$B$42,0.95,1,1)</f>
        <v>110.0414302491602</v>
      </c>
      <c r="K53" s="41">
        <f>I53+_xlfn.FORECAST.ETS.CONFINT('2. Industry'!B53,'2. Industry'!$D$8:$D$42,'2. Industry'!$B$8:$B$42,0.95,1,1)</f>
        <v>167.55212325035723</v>
      </c>
      <c r="L53" s="1"/>
      <c r="M53" s="11">
        <f t="shared" si="3"/>
        <v>31455713.154844254</v>
      </c>
      <c r="N53" s="11">
        <f t="shared" si="1"/>
        <v>26458801.723009773</v>
      </c>
      <c r="O53" s="11">
        <f t="shared" si="2"/>
        <v>36452624.586678728</v>
      </c>
      <c r="Q53">
        <v>24</v>
      </c>
      <c r="R53">
        <v>17871719.375874482</v>
      </c>
      <c r="S53">
        <v>1961091.6241255179</v>
      </c>
      <c r="T53">
        <v>1.1444263296226909</v>
      </c>
    </row>
    <row r="54" spans="2:20" x14ac:dyDescent="0.25">
      <c r="B54" s="3">
        <v>2032</v>
      </c>
      <c r="C54" s="3"/>
      <c r="D54" s="3"/>
      <c r="H54" s="1"/>
      <c r="I54" s="41">
        <f>_xlfn.FORECAST.ETS('2. Industry'!B54,'2. Industry'!$D$8:$D$42,'2. Industry'!$B$8:$B$42,1,1)</f>
        <v>141.56345969167626</v>
      </c>
      <c r="J54" s="41">
        <f>I54-_xlfn.FORECAST.ETS.CONFINT('2. Industry'!B54,'2. Industry'!$D$8:$D$42,'2. Industry'!$B$8:$B$42,0.95,1,1)</f>
        <v>111.53903815353407</v>
      </c>
      <c r="K54" s="41">
        <f>I54+_xlfn.FORECAST.ETS.CONFINT('2. Industry'!B54,'2. Industry'!$D$8:$D$42,'2. Industry'!$B$8:$B$42,0.95,1,1)</f>
        <v>171.58788122981846</v>
      </c>
      <c r="L54" s="1"/>
      <c r="M54" s="11">
        <f t="shared" si="3"/>
        <v>31936488.777577281</v>
      </c>
      <c r="N54" s="11">
        <f t="shared" si="1"/>
        <v>26719045.989501767</v>
      </c>
      <c r="O54" s="11">
        <f t="shared" si="2"/>
        <v>37153931.565652795</v>
      </c>
      <c r="Q54">
        <v>25</v>
      </c>
      <c r="R54">
        <v>20574936.818655051</v>
      </c>
      <c r="S54">
        <v>741969.18134494871</v>
      </c>
      <c r="T54">
        <v>0.43298796264982903</v>
      </c>
    </row>
    <row r="55" spans="2:20" x14ac:dyDescent="0.25">
      <c r="B55" s="3">
        <v>2033</v>
      </c>
      <c r="C55" s="3"/>
      <c r="D55" s="3"/>
      <c r="H55" s="1"/>
      <c r="I55" s="41">
        <f>_xlfn.FORECAST.ETS('2. Industry'!B55,'2. Industry'!$D$8:$D$42,'2. Industry'!$B$8:$B$42,1,1)</f>
        <v>144.33014263359377</v>
      </c>
      <c r="J55" s="41">
        <f>I55-_xlfn.FORECAST.ETS.CONFINT('2. Industry'!B55,'2. Industry'!$D$8:$D$42,'2. Industry'!$B$8:$B$42,0.95,1,1)</f>
        <v>113.08553218534649</v>
      </c>
      <c r="K55" s="41">
        <f>I55+_xlfn.FORECAST.ETS.CONFINT('2. Industry'!B55,'2. Industry'!$D$8:$D$42,'2. Industry'!$B$8:$B$42,0.95,1,1)</f>
        <v>175.57475308184104</v>
      </c>
      <c r="L55" s="1"/>
      <c r="M55" s="11">
        <f t="shared" si="3"/>
        <v>32417264.4003103</v>
      </c>
      <c r="N55" s="11">
        <f t="shared" si="1"/>
        <v>26987785.35964521</v>
      </c>
      <c r="O55" s="11">
        <f t="shared" si="2"/>
        <v>37846743.44097539</v>
      </c>
      <c r="Q55">
        <v>26</v>
      </c>
      <c r="R55">
        <v>21810812.522759929</v>
      </c>
      <c r="S55">
        <v>1262481.4772400707</v>
      </c>
      <c r="T55">
        <v>0.73674122383687901</v>
      </c>
    </row>
    <row r="56" spans="2:20" x14ac:dyDescent="0.25">
      <c r="B56" s="3">
        <v>2034</v>
      </c>
      <c r="C56" s="3"/>
      <c r="D56" s="3"/>
      <c r="H56" s="1"/>
      <c r="I56" s="41">
        <f>_xlfn.FORECAST.ETS('2. Industry'!B56,'2. Industry'!$D$8:$D$42,'2. Industry'!$B$8:$B$42,1,1)</f>
        <v>147.0968255755113</v>
      </c>
      <c r="J56" s="41">
        <f>I56-_xlfn.FORECAST.ETS.CONFINT('2. Industry'!B56,'2. Industry'!$D$8:$D$42,'2. Industry'!$B$8:$B$42,0.95,1,1)</f>
        <v>114.67538957671826</v>
      </c>
      <c r="K56" s="41">
        <f>I56+_xlfn.FORECAST.ETS.CONFINT('2. Industry'!B56,'2. Industry'!$D$8:$D$42,'2. Industry'!$B$8:$B$42,0.95,1,1)</f>
        <v>179.51826157430435</v>
      </c>
      <c r="L56" s="1"/>
      <c r="M56" s="11">
        <f t="shared" si="3"/>
        <v>32898040.023043327</v>
      </c>
      <c r="N56" s="11">
        <f t="shared" si="1"/>
        <v>27264060.123844862</v>
      </c>
      <c r="O56" s="11">
        <f t="shared" si="2"/>
        <v>38532019.922241792</v>
      </c>
      <c r="Q56">
        <v>27</v>
      </c>
      <c r="R56">
        <v>21779012.009001322</v>
      </c>
      <c r="S56">
        <v>1355948.9909986779</v>
      </c>
      <c r="T56">
        <v>0.7912856838681227</v>
      </c>
    </row>
    <row r="57" spans="2:20" x14ac:dyDescent="0.25">
      <c r="B57" s="3">
        <v>2035</v>
      </c>
      <c r="C57" s="3"/>
      <c r="D57" s="3"/>
      <c r="H57" s="1"/>
      <c r="I57" s="41">
        <f>_xlfn.FORECAST.ETS('2. Industry'!B57,'2. Industry'!$D$8:$D$42,'2. Industry'!$B$8:$B$42,1,1)</f>
        <v>149.86350851742884</v>
      </c>
      <c r="J57" s="41">
        <f>I57-_xlfn.FORECAST.ETS.CONFINT('2. Industry'!B57,'2. Industry'!$D$8:$D$42,'2. Industry'!$B$8:$B$42,0.95,1,1)</f>
        <v>116.30404548612057</v>
      </c>
      <c r="K57" s="41">
        <f>I57+_xlfn.FORECAST.ETS.CONFINT('2. Industry'!B57,'2. Industry'!$D$8:$D$42,'2. Industry'!$B$8:$B$42,0.95,1,1)</f>
        <v>183.42297154873711</v>
      </c>
      <c r="L57" s="1"/>
      <c r="M57" s="11">
        <f t="shared" si="3"/>
        <v>33378815.645776354</v>
      </c>
      <c r="N57" s="11">
        <f t="shared" si="1"/>
        <v>27547077.034527808</v>
      </c>
      <c r="O57" s="11">
        <f t="shared" si="2"/>
        <v>39210554.257024892</v>
      </c>
      <c r="Q57">
        <v>28</v>
      </c>
      <c r="R57">
        <v>22810877.859813295</v>
      </c>
      <c r="S57">
        <v>1202207.1401867047</v>
      </c>
      <c r="T57">
        <v>0.70156717206090258</v>
      </c>
    </row>
    <row r="58" spans="2:20" x14ac:dyDescent="0.25">
      <c r="B58" s="3">
        <v>2036</v>
      </c>
      <c r="C58" s="3"/>
      <c r="D58" s="3"/>
      <c r="H58" s="1"/>
      <c r="I58" s="41">
        <f>_xlfn.FORECAST.ETS('2. Industry'!B58,'2. Industry'!$D$8:$D$42,'2. Industry'!$B$8:$B$42,1,1)</f>
        <v>152.63019145934638</v>
      </c>
      <c r="J58" s="41">
        <f>I58-_xlfn.FORECAST.ETS.CONFINT('2. Industry'!B58,'2. Industry'!$D$8:$D$42,'2. Industry'!$B$8:$B$42,0.95,1,1)</f>
        <v>117.9676756532654</v>
      </c>
      <c r="K58" s="41">
        <f>I58+_xlfn.FORECAST.ETS.CONFINT('2. Industry'!B58,'2. Industry'!$D$8:$D$42,'2. Industry'!$B$8:$B$42,0.95,1,1)</f>
        <v>187.29270726542734</v>
      </c>
      <c r="L58" s="1"/>
      <c r="M58" s="11">
        <f t="shared" si="3"/>
        <v>33859591.268509381</v>
      </c>
      <c r="N58" s="11">
        <f t="shared" si="1"/>
        <v>27836171.537366711</v>
      </c>
      <c r="O58" s="11">
        <f t="shared" si="2"/>
        <v>39883010.999652043</v>
      </c>
      <c r="Q58">
        <v>29</v>
      </c>
      <c r="R58">
        <v>22631891.361609131</v>
      </c>
      <c r="S58">
        <v>349908.6383908689</v>
      </c>
      <c r="T58">
        <v>0.20419477285539889</v>
      </c>
    </row>
    <row r="59" spans="2:20" x14ac:dyDescent="0.25">
      <c r="B59" s="3">
        <v>2037</v>
      </c>
      <c r="C59" s="3"/>
      <c r="D59" s="3"/>
      <c r="H59" s="1"/>
      <c r="I59" s="41">
        <f>_xlfn.FORECAST.ETS('2. Industry'!B59,'2. Industry'!$D$8:$D$42,'2. Industry'!$B$8:$B$42,1,1)</f>
        <v>155.39687440126391</v>
      </c>
      <c r="J59" s="41">
        <f>I59-_xlfn.FORECAST.ETS.CONFINT('2. Industry'!B59,'2. Industry'!$D$8:$D$42,'2. Industry'!$B$8:$B$42,0.95,1,1)</f>
        <v>119.66303859874489</v>
      </c>
      <c r="K59" s="41">
        <f>I59+_xlfn.FORECAST.ETS.CONFINT('2. Industry'!B59,'2. Industry'!$D$8:$D$42,'2. Industry'!$B$8:$B$42,0.95,1,1)</f>
        <v>191.13071020378294</v>
      </c>
      <c r="L59" s="1"/>
      <c r="M59" s="11">
        <f t="shared" si="3"/>
        <v>34340366.8912424</v>
      </c>
      <c r="N59" s="11">
        <f t="shared" si="1"/>
        <v>28130780.349790469</v>
      </c>
      <c r="O59" s="11">
        <f t="shared" si="2"/>
        <v>40549953.432694338</v>
      </c>
      <c r="Q59">
        <v>30</v>
      </c>
      <c r="R59">
        <v>21682046.508032463</v>
      </c>
      <c r="S59">
        <v>465305.49196753651</v>
      </c>
      <c r="T59">
        <v>0.27153644927892751</v>
      </c>
    </row>
    <row r="60" spans="2:20" x14ac:dyDescent="0.25">
      <c r="B60" s="3">
        <v>2038</v>
      </c>
      <c r="C60" s="3"/>
      <c r="D60" s="3"/>
      <c r="H60" s="1"/>
      <c r="I60" s="41">
        <f>_xlfn.FORECAST.ETS('2. Industry'!B60,'2. Industry'!$D$8:$D$42,'2. Industry'!$B$8:$B$42,1,1)</f>
        <v>158.16355734318142</v>
      </c>
      <c r="J60" s="41">
        <f>I60-_xlfn.FORECAST.ETS.CONFINT('2. Industry'!B60,'2. Industry'!$D$8:$D$42,'2. Industry'!$B$8:$B$42,0.95,1,1)</f>
        <v>121.38735857033606</v>
      </c>
      <c r="K60" s="41">
        <f>I60+_xlfn.FORECAST.ETS.CONFINT('2. Industry'!B60,'2. Industry'!$D$8:$D$42,'2. Industry'!$B$8:$B$42,0.95,1,1)</f>
        <v>194.93975611602679</v>
      </c>
      <c r="L60" s="1"/>
      <c r="M60" s="11">
        <f t="shared" si="3"/>
        <v>34821142.513975427</v>
      </c>
      <c r="N60" s="11">
        <f t="shared" si="1"/>
        <v>28430421.120177463</v>
      </c>
      <c r="O60" s="11">
        <f t="shared" si="2"/>
        <v>41211863.907773383</v>
      </c>
      <c r="Q60">
        <v>31</v>
      </c>
      <c r="R60">
        <v>23369732.790128436</v>
      </c>
      <c r="S60">
        <v>-1125109.7901284359</v>
      </c>
      <c r="T60">
        <v>-0.65657578243617543</v>
      </c>
    </row>
    <row r="61" spans="2:20" x14ac:dyDescent="0.25">
      <c r="B61" s="3">
        <v>2039</v>
      </c>
      <c r="C61" s="3"/>
      <c r="D61" s="3"/>
      <c r="H61" s="1"/>
      <c r="I61" s="41">
        <f>_xlfn.FORECAST.ETS('2. Industry'!B61,'2. Industry'!$D$8:$D$42,'2. Industry'!$B$8:$B$42,1,1)</f>
        <v>160.93024028509896</v>
      </c>
      <c r="J61" s="41">
        <f>I61-_xlfn.FORECAST.ETS.CONFINT('2. Industry'!B61,'2. Industry'!$D$8:$D$42,'2. Industry'!$B$8:$B$42,0.95,1,1)</f>
        <v>123.13823707240208</v>
      </c>
      <c r="K61" s="41">
        <f>I61+_xlfn.FORECAST.ETS.CONFINT('2. Industry'!B61,'2. Industry'!$D$8:$D$42,'2. Industry'!$B$8:$B$42,0.95,1,1)</f>
        <v>198.72224349779583</v>
      </c>
      <c r="L61" s="1"/>
      <c r="M61" s="11">
        <f t="shared" si="3"/>
        <v>35301918.136708453</v>
      </c>
      <c r="N61" s="11">
        <f t="shared" si="1"/>
        <v>28734677.054027706</v>
      </c>
      <c r="O61" s="11">
        <f t="shared" si="2"/>
        <v>41869159.219389185</v>
      </c>
      <c r="Q61">
        <v>32</v>
      </c>
      <c r="R61">
        <v>24293511.648820996</v>
      </c>
      <c r="S61">
        <v>-1407659.6488209963</v>
      </c>
      <c r="T61">
        <v>-0.82146226389423938</v>
      </c>
    </row>
    <row r="62" spans="2:20" x14ac:dyDescent="0.25">
      <c r="B62" s="3">
        <v>2040</v>
      </c>
      <c r="C62" s="3"/>
      <c r="D62" s="3"/>
      <c r="H62" s="1"/>
      <c r="I62" s="41">
        <f>_xlfn.FORECAST.ETS('2. Industry'!B62,'2. Industry'!$D$8:$D$42,'2. Industry'!$B$8:$B$42,1,1)</f>
        <v>163.6969232270165</v>
      </c>
      <c r="J62" s="41">
        <f>I62-_xlfn.FORECAST.ETS.CONFINT('2. Industry'!B62,'2. Industry'!$D$8:$D$42,'2. Industry'!$B$8:$B$42,0.95,1,1)</f>
        <v>124.91358488600046</v>
      </c>
      <c r="K62" s="41">
        <f>I62+_xlfn.FORECAST.ETS.CONFINT('2. Industry'!B62,'2. Industry'!$D$8:$D$42,'2. Industry'!$B$8:$B$42,0.95,1,1)</f>
        <v>202.48026156803252</v>
      </c>
      <c r="L62" s="1"/>
      <c r="M62" s="11">
        <f t="shared" si="3"/>
        <v>35782693.75944148</v>
      </c>
      <c r="N62" s="11">
        <f t="shared" si="1"/>
        <v>29043185.100872755</v>
      </c>
      <c r="O62" s="11">
        <f t="shared" si="2"/>
        <v>42522202.418010198</v>
      </c>
      <c r="Q62">
        <v>33</v>
      </c>
      <c r="R62">
        <v>25070278.296367228</v>
      </c>
      <c r="S62">
        <v>-2328657.296367228</v>
      </c>
      <c r="T62">
        <v>-1.3589251465081347</v>
      </c>
    </row>
    <row r="63" spans="2:20" ht="15.6" thickBot="1" x14ac:dyDescent="0.3">
      <c r="B63" s="3">
        <v>2041</v>
      </c>
      <c r="C63" s="3"/>
      <c r="D63" s="3"/>
      <c r="H63" s="1"/>
      <c r="I63" s="41">
        <f>_xlfn.FORECAST.ETS('2. Industry'!B63,'2. Industry'!$D$8:$D$42,'2. Industry'!$B$8:$B$42,1,1)</f>
        <v>166.46360616893404</v>
      </c>
      <c r="J63" s="41">
        <f>I63-_xlfn.FORECAST.ETS.CONFINT('2. Industry'!B63,'2. Industry'!$D$8:$D$42,'2. Industry'!$B$8:$B$42,0.95,1,1)</f>
        <v>126.7115690628701</v>
      </c>
      <c r="K63" s="41">
        <f>I63+_xlfn.FORECAST.ETS.CONFINT('2. Industry'!B63,'2. Industry'!$D$8:$D$42,'2. Industry'!$B$8:$B$42,0.95,1,1)</f>
        <v>206.21564327499797</v>
      </c>
      <c r="L63" s="1"/>
      <c r="M63" s="11">
        <f t="shared" si="3"/>
        <v>36263469.382174499</v>
      </c>
      <c r="N63" s="11">
        <f t="shared" si="1"/>
        <v>29355626.743245952</v>
      </c>
      <c r="O63" s="11">
        <f t="shared" si="2"/>
        <v>43171312.021103054</v>
      </c>
      <c r="Q63" s="16">
        <v>34</v>
      </c>
      <c r="R63" s="16">
        <v>24357112.676338211</v>
      </c>
      <c r="S63" s="16">
        <v>-1674652.6763382107</v>
      </c>
      <c r="T63" s="16">
        <v>-0.97727030812706661</v>
      </c>
    </row>
    <row r="64" spans="2:20" x14ac:dyDescent="0.25">
      <c r="B64" s="3">
        <v>2042</v>
      </c>
      <c r="C64" s="3"/>
      <c r="D64" s="3"/>
      <c r="H64" s="1"/>
      <c r="I64" s="41">
        <f>_xlfn.FORECAST.ETS('2. Industry'!B64,'2. Industry'!$D$8:$D$42,'2. Industry'!$B$8:$B$42,1,1)</f>
        <v>169.23028911085157</v>
      </c>
      <c r="J64" s="41">
        <f>I64-_xlfn.FORECAST.ETS.CONFINT('2. Industry'!B64,'2. Industry'!$D$8:$D$42,'2. Industry'!$B$8:$B$42,0.95,1,1)</f>
        <v>128.53057105016561</v>
      </c>
      <c r="K64" s="41">
        <f>I64+_xlfn.FORECAST.ETS.CONFINT('2. Industry'!B64,'2. Industry'!$D$8:$D$42,'2. Industry'!$B$8:$B$42,0.95,1,1)</f>
        <v>209.93000717153754</v>
      </c>
      <c r="L64" s="1"/>
      <c r="M64" s="11">
        <f t="shared" si="3"/>
        <v>36744245.004907526</v>
      </c>
      <c r="N64" s="11">
        <f t="shared" si="1"/>
        <v>29671720.719879389</v>
      </c>
      <c r="O64" s="11">
        <f t="shared" si="2"/>
        <v>43816769.289935671</v>
      </c>
    </row>
    <row r="65" spans="2:15" x14ac:dyDescent="0.25">
      <c r="B65" s="3">
        <v>2043</v>
      </c>
      <c r="C65" s="3"/>
      <c r="D65" s="3"/>
      <c r="H65" s="1"/>
      <c r="I65" s="41">
        <f>_xlfn.FORECAST.ETS('2. Industry'!B65,'2. Industry'!$D$8:$D$42,'2. Industry'!$B$8:$B$42,1,1)</f>
        <v>171.99697205276908</v>
      </c>
      <c r="J65" s="41">
        <f>I65-_xlfn.FORECAST.ETS.CONFINT('2. Industry'!B65,'2. Industry'!$D$8:$D$42,'2. Industry'!$B$8:$B$42,0.95,1,1)</f>
        <v>130.36915321665415</v>
      </c>
      <c r="K65" s="41">
        <f>I65+_xlfn.FORECAST.ETS.CONFINT('2. Industry'!B65,'2. Industry'!$D$8:$D$42,'2. Industry'!$B$8:$B$42,0.95,1,1)</f>
        <v>213.62479088888401</v>
      </c>
      <c r="L65" s="1"/>
      <c r="M65" s="11">
        <f t="shared" si="3"/>
        <v>37225020.627640553</v>
      </c>
      <c r="N65" s="11">
        <f t="shared" si="1"/>
        <v>29991217.208850659</v>
      </c>
      <c r="O65" s="11">
        <f t="shared" si="2"/>
        <v>44458824.046430439</v>
      </c>
    </row>
    <row r="66" spans="2:15" x14ac:dyDescent="0.25">
      <c r="B66" s="3">
        <v>2044</v>
      </c>
      <c r="C66" s="3"/>
      <c r="D66" s="3"/>
      <c r="H66" s="1"/>
      <c r="I66" s="41">
        <f>_xlfn.FORECAST.ETS('2. Industry'!B66,'2. Industry'!$D$8:$D$42,'2. Industry'!$B$8:$B$42,1,1)</f>
        <v>174.76365499468665</v>
      </c>
      <c r="J66" s="41">
        <f>I66-_xlfn.FORECAST.ETS.CONFINT('2. Industry'!B66,'2. Industry'!$D$8:$D$42,'2. Industry'!$B$8:$B$42,0.95,1,1)</f>
        <v>132.22603180829464</v>
      </c>
      <c r="K66" s="41">
        <f>I66+_xlfn.FORECAST.ETS.CONFINT('2. Industry'!B66,'2. Industry'!$D$8:$D$42,'2. Industry'!$B$8:$B$42,0.95,1,1)</f>
        <v>217.30127818107866</v>
      </c>
      <c r="L66" s="1"/>
      <c r="M66" s="11">
        <f t="shared" si="3"/>
        <v>37705796.25037358</v>
      </c>
      <c r="N66" s="11">
        <f t="shared" si="1"/>
        <v>30313893.12798465</v>
      </c>
      <c r="O66" s="11">
        <f t="shared" si="2"/>
        <v>45097699.372762509</v>
      </c>
    </row>
    <row r="67" spans="2:15" x14ac:dyDescent="0.25">
      <c r="B67" s="3">
        <v>2045</v>
      </c>
      <c r="C67" s="3"/>
      <c r="D67" s="3"/>
      <c r="H67" s="1"/>
      <c r="I67" s="41">
        <f>_xlfn.FORECAST.ETS('2. Industry'!B67,'2. Industry'!$D$8:$D$42,'2. Industry'!$B$8:$B$42,1,1)</f>
        <v>177.53033793660416</v>
      </c>
      <c r="J67" s="41">
        <f>I67-_xlfn.FORECAST.ETS.CONFINT('2. Industry'!B67,'2. Industry'!$D$8:$D$42,'2. Industry'!$B$8:$B$42,0.95,1,1)</f>
        <v>134.10005488582391</v>
      </c>
      <c r="K67" s="41">
        <f>I67+_xlfn.FORECAST.ETS.CONFINT('2. Industry'!B67,'2. Industry'!$D$8:$D$42,'2. Industry'!$B$8:$B$42,0.95,1,1)</f>
        <v>220.9606209873844</v>
      </c>
      <c r="L67" s="1"/>
      <c r="M67" s="11">
        <f t="shared" si="3"/>
        <v>38186571.873106599</v>
      </c>
      <c r="N67" s="11">
        <f t="shared" si="1"/>
        <v>30639548.300995097</v>
      </c>
      <c r="O67" s="11">
        <f t="shared" si="2"/>
        <v>45733595.445218109</v>
      </c>
    </row>
    <row r="68" spans="2:15" x14ac:dyDescent="0.25">
      <c r="B68" s="3">
        <v>2046</v>
      </c>
      <c r="C68" s="3"/>
      <c r="D68" s="3"/>
      <c r="H68" s="1"/>
      <c r="I68" s="41">
        <f>_xlfn.FORECAST.ETS('2. Industry'!B68,'2. Industry'!$D$8:$D$42,'2. Industry'!$B$8:$B$42,1,1)</f>
        <v>180.29702087852169</v>
      </c>
      <c r="J68" s="41">
        <f>I68-_xlfn.FORECAST.ETS.CONFINT('2. Industry'!B68,'2. Industry'!$D$8:$D$42,'2. Industry'!$B$8:$B$42,0.95,1,1)</f>
        <v>135.99018416691473</v>
      </c>
      <c r="K68" s="41">
        <f>I68+_xlfn.FORECAST.ETS.CONFINT('2. Industry'!B68,'2. Industry'!$D$8:$D$42,'2. Industry'!$B$8:$B$42,0.95,1,1)</f>
        <v>224.60385759012865</v>
      </c>
      <c r="L68" s="1"/>
      <c r="M68" s="11">
        <f t="shared" si="3"/>
        <v>38667347.495839626</v>
      </c>
      <c r="N68" s="11">
        <f t="shared" si="1"/>
        <v>30968002.302136458</v>
      </c>
      <c r="O68" s="11">
        <f t="shared" si="2"/>
        <v>46366692.6895428</v>
      </c>
    </row>
    <row r="69" spans="2:15" x14ac:dyDescent="0.25">
      <c r="B69" s="3">
        <v>2047</v>
      </c>
      <c r="C69" s="3"/>
      <c r="D69" s="3"/>
      <c r="H69" s="1"/>
      <c r="I69" s="41">
        <f>_xlfn.FORECAST.ETS('2. Industry'!B69,'2. Industry'!$D$8:$D$42,'2. Industry'!$B$8:$B$42,1,1)</f>
        <v>183.06370382043923</v>
      </c>
      <c r="J69" s="41">
        <f>I69-_xlfn.FORECAST.ETS.CONFINT('2. Industry'!B69,'2. Industry'!$D$8:$D$42,'2. Industry'!$B$8:$B$42,0.95,1,1)</f>
        <v>137.89547996042705</v>
      </c>
      <c r="K69" s="41">
        <f>I69+_xlfn.FORECAST.ETS.CONFINT('2. Industry'!B69,'2. Industry'!$D$8:$D$42,'2. Industry'!$B$8:$B$42,0.95,1,1)</f>
        <v>228.23192768045141</v>
      </c>
      <c r="L69" s="1"/>
      <c r="M69" s="11">
        <f t="shared" si="3"/>
        <v>39148123.118572652</v>
      </c>
      <c r="N69" s="11">
        <f t="shared" si="1"/>
        <v>31299091.838179074</v>
      </c>
      <c r="O69" s="11">
        <f t="shared" si="2"/>
        <v>46997154.39896623</v>
      </c>
    </row>
    <row r="70" spans="2:15" x14ac:dyDescent="0.25">
      <c r="B70" s="3">
        <v>2048</v>
      </c>
      <c r="C70" s="3"/>
      <c r="D70" s="3"/>
      <c r="H70" s="1"/>
      <c r="I70" s="41">
        <f>_xlfn.FORECAST.ETS('2. Industry'!B70,'2. Industry'!$D$8:$D$42,'2. Industry'!$B$8:$B$42,1,1)</f>
        <v>185.83038676235674</v>
      </c>
      <c r="J70" s="41">
        <f>I70-_xlfn.FORECAST.ETS.CONFINT('2. Industry'!B70,'2. Industry'!$D$8:$D$42,'2. Industry'!$B$8:$B$42,0.95,1,1)</f>
        <v>139.81508857278993</v>
      </c>
      <c r="K70" s="41">
        <f>I70+_xlfn.FORECAST.ETS.CONFINT('2. Industry'!B70,'2. Industry'!$D$8:$D$42,'2. Industry'!$B$8:$B$42,0.95,1,1)</f>
        <v>231.84568495192354</v>
      </c>
      <c r="L70" s="1"/>
      <c r="M70" s="11">
        <f t="shared" si="3"/>
        <v>39628898.741305672</v>
      </c>
      <c r="N70" s="11">
        <f t="shared" si="1"/>
        <v>31632668.559974596</v>
      </c>
      <c r="O70" s="11">
        <f t="shared" si="2"/>
        <v>47625128.922636755</v>
      </c>
    </row>
    <row r="71" spans="2:15" x14ac:dyDescent="0.25">
      <c r="B71" s="3">
        <v>2049</v>
      </c>
      <c r="C71" s="3"/>
      <c r="D71" s="3"/>
      <c r="H71" s="1"/>
      <c r="I71" s="41">
        <f>_xlfn.FORECAST.ETS('2. Industry'!B71,'2. Industry'!$D$8:$D$42,'2. Industry'!$B$8:$B$42,1,1)</f>
        <v>188.5970697042743</v>
      </c>
      <c r="J71" s="41">
        <f>I71-_xlfn.FORECAST.ETS.CONFINT('2. Industry'!B71,'2. Industry'!$D$8:$D$42,'2. Industry'!$B$8:$B$42,0.95,1,1)</f>
        <v>141.74823170827818</v>
      </c>
      <c r="K71" s="41">
        <f>I71+_xlfn.FORECAST.ETS.CONFINT('2. Industry'!B71,'2. Industry'!$D$8:$D$42,'2. Industry'!$B$8:$B$42,0.95,1,1)</f>
        <v>235.44590770027042</v>
      </c>
      <c r="L71" s="1"/>
      <c r="M71" s="11">
        <f t="shared" si="3"/>
        <v>40109674.364038706</v>
      </c>
      <c r="N71" s="11">
        <f t="shared" si="1"/>
        <v>31968597.220507085</v>
      </c>
      <c r="O71" s="11">
        <f t="shared" si="2"/>
        <v>48250751.507570326</v>
      </c>
    </row>
    <row r="72" spans="2:15" x14ac:dyDescent="0.25">
      <c r="B72" s="3">
        <v>2050</v>
      </c>
      <c r="C72" s="3"/>
      <c r="D72" s="3"/>
      <c r="H72" s="1"/>
      <c r="I72" s="41">
        <f>_xlfn.FORECAST.ETS('2. Industry'!B72,'2. Industry'!$D$8:$D$42,'2. Industry'!$B$8:$B$42,1,1)</f>
        <v>191.36375264619181</v>
      </c>
      <c r="J72" s="41">
        <f>I72-_xlfn.FORECAST.ETS.CONFINT('2. Industry'!B72,'2. Industry'!$D$8:$D$42,'2. Industry'!$B$8:$B$42,0.95,1,1)</f>
        <v>143.69419749056289</v>
      </c>
      <c r="K72" s="41">
        <f>I72+_xlfn.FORECAST.ETS.CONFINT('2. Industry'!B72,'2. Industry'!$D$8:$D$42,'2. Industry'!$B$8:$B$42,0.95,1,1)</f>
        <v>239.03330780182074</v>
      </c>
      <c r="L72" s="1"/>
      <c r="M72" s="11">
        <f t="shared" si="3"/>
        <v>40590449.986771725</v>
      </c>
      <c r="N72" s="11">
        <f t="shared" si="1"/>
        <v>32306754.114678219</v>
      </c>
      <c r="O72" s="11">
        <f t="shared" si="2"/>
        <v>48874145.858865239</v>
      </c>
    </row>
    <row r="77" spans="2:15" x14ac:dyDescent="0.25">
      <c r="B77" s="15" t="s">
        <v>30</v>
      </c>
    </row>
    <row r="78" spans="2:15" x14ac:dyDescent="0.25">
      <c r="B78" s="1" t="s">
        <v>135</v>
      </c>
    </row>
    <row r="79" spans="2:15" x14ac:dyDescent="0.25">
      <c r="B79" s="1" t="s">
        <v>136</v>
      </c>
    </row>
  </sheetData>
  <conditionalFormatting sqref="C8:D72 I8:K72 M8:O72">
    <cfRule type="expression" dxfId="22" priority="2">
      <formula>ISBLANK(C8)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53FDA-21D0-43C4-811C-3AC19A27F17F}">
  <sheetPr codeName="Sheet10"/>
  <dimension ref="B1:L123"/>
  <sheetViews>
    <sheetView showGridLines="0" zoomScale="80" zoomScaleNormal="80" workbookViewId="0">
      <pane xSplit="1" ySplit="7" topLeftCell="B8" activePane="bottomRight" state="frozen"/>
      <selection pane="topRight" activeCell="G33" sqref="G33"/>
      <selection pane="bottomLeft" activeCell="G33" sqref="G33"/>
      <selection pane="bottomRight" activeCell="O77" sqref="O77"/>
    </sheetView>
  </sheetViews>
  <sheetFormatPr defaultColWidth="8.7265625" defaultRowHeight="13.2" x14ac:dyDescent="0.25"/>
  <cols>
    <col min="1" max="1" width="2.54296875" style="1" customWidth="1"/>
    <col min="2" max="2" width="8.7265625" style="1" bestFit="1" customWidth="1"/>
    <col min="3" max="3" width="17.453125" style="1" customWidth="1"/>
    <col min="4" max="4" width="4.54296875" style="1" customWidth="1"/>
    <col min="5" max="5" width="9.453125" style="1" customWidth="1"/>
    <col min="6" max="6" width="12.26953125" style="1" customWidth="1"/>
    <col min="7" max="7" width="3.7265625" style="1" customWidth="1"/>
    <col min="8" max="8" width="17" style="1" customWidth="1"/>
    <col min="9" max="9" width="16.54296875" style="1" customWidth="1"/>
    <col min="10" max="10" width="16.90625" style="1" customWidth="1"/>
    <col min="11" max="16384" width="8.7265625" style="1"/>
  </cols>
  <sheetData>
    <row r="1" spans="2:12" ht="22.8" x14ac:dyDescent="0.4">
      <c r="B1" s="6" t="s">
        <v>137</v>
      </c>
      <c r="E1" s="6"/>
    </row>
    <row r="2" spans="2:12" ht="15.6" x14ac:dyDescent="0.3">
      <c r="B2" s="48" t="s">
        <v>1</v>
      </c>
      <c r="C2" s="49"/>
      <c r="D2" s="44"/>
      <c r="E2" s="48" t="s">
        <v>27</v>
      </c>
      <c r="F2" s="50"/>
      <c r="G2" s="48"/>
      <c r="H2" s="48"/>
      <c r="I2" s="49"/>
      <c r="J2" s="49"/>
      <c r="K2"/>
      <c r="L2"/>
    </row>
    <row r="3" spans="2:12" ht="7.2" customHeight="1" x14ac:dyDescent="0.25">
      <c r="B3"/>
      <c r="C3"/>
      <c r="H3"/>
      <c r="I3"/>
      <c r="J3"/>
      <c r="K3"/>
      <c r="L3"/>
    </row>
    <row r="4" spans="2:12" ht="12.45" customHeight="1" x14ac:dyDescent="0.25">
      <c r="B4"/>
      <c r="C4"/>
      <c r="H4"/>
      <c r="I4"/>
      <c r="J4"/>
      <c r="K4"/>
      <c r="L4"/>
    </row>
    <row r="5" spans="2:12" x14ac:dyDescent="0.25">
      <c r="E5" s="29"/>
    </row>
    <row r="6" spans="2:12" x14ac:dyDescent="0.25">
      <c r="B6" s="22"/>
      <c r="C6" s="31" t="s">
        <v>13</v>
      </c>
      <c r="E6" s="29" t="s">
        <v>138</v>
      </c>
      <c r="H6" s="73" t="s">
        <v>8</v>
      </c>
      <c r="I6" s="73" t="s">
        <v>71</v>
      </c>
      <c r="J6" s="73" t="s">
        <v>72</v>
      </c>
    </row>
    <row r="7" spans="2:12" s="37" customFormat="1" ht="39.6" x14ac:dyDescent="0.25">
      <c r="B7" s="38" t="s">
        <v>15</v>
      </c>
      <c r="C7" s="38" t="str">
        <f>Main!E7</f>
        <v>Transport Emission</v>
      </c>
      <c r="E7" s="107" t="s">
        <v>119</v>
      </c>
      <c r="F7" s="107" t="s">
        <v>120</v>
      </c>
      <c r="H7" s="106" t="s">
        <v>137</v>
      </c>
      <c r="I7" s="106" t="s">
        <v>139</v>
      </c>
      <c r="J7" s="106" t="s">
        <v>140</v>
      </c>
    </row>
    <row r="8" spans="2:12" x14ac:dyDescent="0.25">
      <c r="B8" s="45">
        <v>1970</v>
      </c>
      <c r="C8" s="57">
        <f>INDEX(Main!$B$7:$K$57,MATCH('3. Transport'!$B8,Main!$B$7:$B$57,0),MATCH('3. Transport'!C$7,Main!$B$7:$K$7,0))</f>
        <v>1527564</v>
      </c>
      <c r="E8" s="3" t="s">
        <v>127</v>
      </c>
      <c r="F8" s="4">
        <f>_xlfn.FORECAST.ETS.STAT('3. Transport'!$C$8:$C$57,'3. Transport'!$B$8:$B$57,1,1,1)</f>
        <v>0.251</v>
      </c>
      <c r="H8" s="45"/>
      <c r="I8" s="45"/>
      <c r="J8" s="45"/>
    </row>
    <row r="9" spans="2:12" x14ac:dyDescent="0.25">
      <c r="B9" s="45">
        <v>1971</v>
      </c>
      <c r="C9" s="57">
        <f>INDEX(Main!$B$7:$K$57,MATCH('3. Transport'!$B9,Main!$B$7:$B$57,0),MATCH('3. Transport'!C$7,Main!$B$7:$K$7,0))</f>
        <v>1527563</v>
      </c>
      <c r="E9" s="3" t="s">
        <v>128</v>
      </c>
      <c r="F9" s="4">
        <f>_xlfn.FORECAST.ETS.STAT('3. Transport'!$C$8:$C$57,'3. Transport'!$B$8:$B$57,2,1,1)</f>
        <v>1E-3</v>
      </c>
      <c r="H9" s="45"/>
      <c r="I9" s="45"/>
      <c r="J9" s="45"/>
    </row>
    <row r="10" spans="2:12" x14ac:dyDescent="0.25">
      <c r="B10" s="45">
        <v>1972</v>
      </c>
      <c r="C10" s="57">
        <f>INDEX(Main!$B$7:$K$57,MATCH('3. Transport'!$B10,Main!$B$7:$B$57,0),MATCH('3. Transport'!C$7,Main!$B$7:$K$7,0))</f>
        <v>1612457</v>
      </c>
      <c r="E10" s="3" t="s">
        <v>129</v>
      </c>
      <c r="F10" s="4">
        <f>_xlfn.FORECAST.ETS.STAT('3. Transport'!$C$8:$C$57,'3. Transport'!$B$8:$B$57,3,1,1)</f>
        <v>0.25</v>
      </c>
      <c r="H10" s="45"/>
      <c r="I10" s="45"/>
      <c r="J10" s="45"/>
    </row>
    <row r="11" spans="2:12" x14ac:dyDescent="0.25">
      <c r="B11" s="45">
        <v>1973</v>
      </c>
      <c r="C11" s="57">
        <f>INDEX(Main!$B$7:$K$57,MATCH('3. Transport'!$B11,Main!$B$7:$B$57,0),MATCH('3. Transport'!C$7,Main!$B$7:$K$7,0))</f>
        <v>1787371</v>
      </c>
      <c r="E11" s="3" t="s">
        <v>130</v>
      </c>
      <c r="F11" s="4">
        <f>_xlfn.FORECAST.ETS.STAT('3. Transport'!$C$8:$C$57,'3. Transport'!$B$8:$B$57,4,1,1)</f>
        <v>1.1899090337637523</v>
      </c>
      <c r="H11" s="45"/>
      <c r="I11" s="45"/>
      <c r="J11" s="45"/>
    </row>
    <row r="12" spans="2:12" x14ac:dyDescent="0.25">
      <c r="B12" s="45">
        <v>1974</v>
      </c>
      <c r="C12" s="57">
        <f>INDEX(Main!$B$7:$K$57,MATCH('3. Transport'!$B12,Main!$B$7:$B$57,0),MATCH('3. Transport'!C$7,Main!$B$7:$K$7,0))</f>
        <v>1738721</v>
      </c>
      <c r="E12" s="3" t="s">
        <v>131</v>
      </c>
      <c r="F12" s="4">
        <f>_xlfn.FORECAST.ETS.STAT('3. Transport'!$C$8:$C$57,'3. Transport'!$B$8:$B$57,5,1,1)</f>
        <v>3.8152154899017895E-2</v>
      </c>
      <c r="H12" s="45"/>
      <c r="I12" s="45"/>
      <c r="J12" s="45"/>
    </row>
    <row r="13" spans="2:12" x14ac:dyDescent="0.25">
      <c r="B13" s="45">
        <v>1975</v>
      </c>
      <c r="C13" s="57">
        <f>INDEX(Main!$B$7:$K$57,MATCH('3. Transport'!$B13,Main!$B$7:$B$57,0),MATCH('3. Transport'!C$7,Main!$B$7:$K$7,0))</f>
        <v>1860826</v>
      </c>
      <c r="E13" s="3" t="s">
        <v>132</v>
      </c>
      <c r="F13" s="4">
        <f>_xlfn.FORECAST.ETS.STAT('3. Transport'!$C$8:$C$57,'3. Transport'!$B$8:$B$57,6,1,1)</f>
        <v>251817.9048719714</v>
      </c>
      <c r="H13" s="45"/>
      <c r="I13" s="45"/>
      <c r="J13" s="45"/>
    </row>
    <row r="14" spans="2:12" x14ac:dyDescent="0.25">
      <c r="B14" s="45">
        <v>1976</v>
      </c>
      <c r="C14" s="57">
        <f>INDEX(Main!$B$7:$K$57,MATCH('3. Transport'!$B14,Main!$B$7:$B$57,0),MATCH('3. Transport'!C$7,Main!$B$7:$K$7,0))</f>
        <v>2042594</v>
      </c>
      <c r="E14" s="3" t="s">
        <v>133</v>
      </c>
      <c r="F14" s="4">
        <f>_xlfn.FORECAST.ETS.STAT('3. Transport'!$C$8:$C$57,'3. Transport'!$B$8:$B$57,7,1,1)</f>
        <v>317154.34290919057</v>
      </c>
      <c r="H14" s="45"/>
      <c r="I14" s="45"/>
      <c r="J14" s="45"/>
    </row>
    <row r="15" spans="2:12" x14ac:dyDescent="0.25">
      <c r="B15" s="45">
        <v>1977</v>
      </c>
      <c r="C15" s="57">
        <f>INDEX(Main!$B$7:$K$57,MATCH('3. Transport'!$B15,Main!$B$7:$B$57,0),MATCH('3. Transport'!C$7,Main!$B$7:$K$7,0))</f>
        <v>2446545</v>
      </c>
      <c r="H15" s="45"/>
      <c r="I15" s="45"/>
      <c r="J15" s="45"/>
    </row>
    <row r="16" spans="2:12" x14ac:dyDescent="0.25">
      <c r="B16" s="45">
        <v>1978</v>
      </c>
      <c r="C16" s="57">
        <f>INDEX(Main!$B$7:$K$57,MATCH('3. Transport'!$B16,Main!$B$7:$B$57,0),MATCH('3. Transport'!C$7,Main!$B$7:$K$7,0))</f>
        <v>2593383</v>
      </c>
      <c r="H16" s="45"/>
      <c r="I16" s="45"/>
      <c r="J16" s="45"/>
    </row>
    <row r="17" spans="2:10" x14ac:dyDescent="0.25">
      <c r="B17" s="45">
        <v>1979</v>
      </c>
      <c r="C17" s="57">
        <f>INDEX(Main!$B$7:$K$57,MATCH('3. Transport'!$B17,Main!$B$7:$B$57,0),MATCH('3. Transport'!C$7,Main!$B$7:$K$7,0))</f>
        <v>2957132</v>
      </c>
      <c r="H17" s="45"/>
      <c r="I17" s="45"/>
      <c r="J17" s="45"/>
    </row>
    <row r="18" spans="2:10" x14ac:dyDescent="0.25">
      <c r="B18" s="45">
        <v>1980</v>
      </c>
      <c r="C18" s="57">
        <f>INDEX(Main!$B$7:$K$57,MATCH('3. Transport'!$B18,Main!$B$7:$B$57,0),MATCH('3. Transport'!C$7,Main!$B$7:$K$7,0))</f>
        <v>2857830</v>
      </c>
      <c r="H18" s="45"/>
      <c r="I18" s="45"/>
      <c r="J18" s="45"/>
    </row>
    <row r="19" spans="2:10" x14ac:dyDescent="0.25">
      <c r="B19" s="45">
        <v>1981</v>
      </c>
      <c r="C19" s="57">
        <f>INDEX(Main!$B$7:$K$57,MATCH('3. Transport'!$B19,Main!$B$7:$B$57,0),MATCH('3. Transport'!C$7,Main!$B$7:$K$7,0))</f>
        <v>3047641</v>
      </c>
      <c r="H19" s="45"/>
      <c r="I19" s="45"/>
      <c r="J19" s="45"/>
    </row>
    <row r="20" spans="2:10" x14ac:dyDescent="0.25">
      <c r="B20" s="45">
        <v>1982</v>
      </c>
      <c r="C20" s="57">
        <f>INDEX(Main!$B$7:$K$57,MATCH('3. Transport'!$B20,Main!$B$7:$B$57,0),MATCH('3. Transport'!C$7,Main!$B$7:$K$7,0))</f>
        <v>3270503</v>
      </c>
      <c r="H20" s="45"/>
      <c r="I20" s="45"/>
      <c r="J20" s="45"/>
    </row>
    <row r="21" spans="2:10" x14ac:dyDescent="0.25">
      <c r="B21" s="45">
        <v>1983</v>
      </c>
      <c r="C21" s="57">
        <f>INDEX(Main!$B$7:$K$57,MATCH('3. Transport'!$B21,Main!$B$7:$B$57,0),MATCH('3. Transport'!C$7,Main!$B$7:$K$7,0))</f>
        <v>3403498</v>
      </c>
      <c r="H21" s="45"/>
      <c r="I21" s="45"/>
      <c r="J21" s="45"/>
    </row>
    <row r="22" spans="2:10" x14ac:dyDescent="0.25">
      <c r="B22" s="45">
        <v>1984</v>
      </c>
      <c r="C22" s="57">
        <f>INDEX(Main!$B$7:$K$57,MATCH('3. Transport'!$B22,Main!$B$7:$B$57,0),MATCH('3. Transport'!C$7,Main!$B$7:$K$7,0))</f>
        <v>3644719</v>
      </c>
      <c r="H22" s="45"/>
      <c r="I22" s="45"/>
      <c r="J22" s="45"/>
    </row>
    <row r="23" spans="2:10" x14ac:dyDescent="0.25">
      <c r="B23" s="45">
        <v>1985</v>
      </c>
      <c r="C23" s="57">
        <f>INDEX(Main!$B$7:$K$57,MATCH('3. Transport'!$B23,Main!$B$7:$B$57,0),MATCH('3. Transport'!C$7,Main!$B$7:$K$7,0))</f>
        <v>3407500</v>
      </c>
      <c r="H23" s="45"/>
      <c r="I23" s="45"/>
      <c r="J23" s="45"/>
    </row>
    <row r="24" spans="2:10" x14ac:dyDescent="0.25">
      <c r="B24" s="45">
        <v>1986</v>
      </c>
      <c r="C24" s="57">
        <f>INDEX(Main!$B$7:$K$57,MATCH('3. Transport'!$B24,Main!$B$7:$B$57,0),MATCH('3. Transport'!C$7,Main!$B$7:$K$7,0))</f>
        <v>3473969</v>
      </c>
      <c r="H24" s="45"/>
      <c r="I24" s="45"/>
      <c r="J24" s="45"/>
    </row>
    <row r="25" spans="2:10" x14ac:dyDescent="0.25">
      <c r="B25" s="45">
        <v>1987</v>
      </c>
      <c r="C25" s="57">
        <f>INDEX(Main!$B$7:$K$57,MATCH('3. Transport'!$B25,Main!$B$7:$B$57,0),MATCH('3. Transport'!C$7,Main!$B$7:$K$7,0))</f>
        <v>3580345</v>
      </c>
      <c r="H25" s="45"/>
      <c r="I25" s="45"/>
      <c r="J25" s="45"/>
    </row>
    <row r="26" spans="2:10" x14ac:dyDescent="0.25">
      <c r="B26" s="45">
        <v>1988</v>
      </c>
      <c r="C26" s="57">
        <f>INDEX(Main!$B$7:$K$57,MATCH('3. Transport'!$B26,Main!$B$7:$B$57,0),MATCH('3. Transport'!C$7,Main!$B$7:$K$7,0))</f>
        <v>3497325</v>
      </c>
      <c r="H26" s="45"/>
      <c r="I26" s="45"/>
      <c r="J26" s="45"/>
    </row>
    <row r="27" spans="2:10" x14ac:dyDescent="0.25">
      <c r="B27" s="45">
        <v>1989</v>
      </c>
      <c r="C27" s="57">
        <f>INDEX(Main!$B$7:$K$57,MATCH('3. Transport'!$B27,Main!$B$7:$B$57,0),MATCH('3. Transport'!C$7,Main!$B$7:$K$7,0))</f>
        <v>4072784</v>
      </c>
      <c r="H27" s="45"/>
      <c r="I27" s="45"/>
      <c r="J27" s="45"/>
    </row>
    <row r="28" spans="2:10" x14ac:dyDescent="0.25">
      <c r="B28" s="45">
        <v>1990</v>
      </c>
      <c r="C28" s="57">
        <f>INDEX(Main!$B$7:$K$57,MATCH('3. Transport'!$B28,Main!$B$7:$B$57,0),MATCH('3. Transport'!C$7,Main!$B$7:$K$7,0))</f>
        <v>4066884</v>
      </c>
      <c r="H28" s="45"/>
      <c r="I28" s="45"/>
      <c r="J28" s="45"/>
    </row>
    <row r="29" spans="2:10" x14ac:dyDescent="0.25">
      <c r="B29" s="45">
        <v>1991</v>
      </c>
      <c r="C29" s="57">
        <f>INDEX(Main!$B$7:$K$57,MATCH('3. Transport'!$B29,Main!$B$7:$B$57,0),MATCH('3. Transport'!C$7,Main!$B$7:$K$7,0))</f>
        <v>4930208</v>
      </c>
      <c r="H29" s="45"/>
      <c r="I29" s="45"/>
      <c r="J29" s="45"/>
    </row>
    <row r="30" spans="2:10" x14ac:dyDescent="0.25">
      <c r="B30" s="45">
        <v>1992</v>
      </c>
      <c r="C30" s="57">
        <f>INDEX(Main!$B$7:$K$57,MATCH('3. Transport'!$B30,Main!$B$7:$B$57,0),MATCH('3. Transport'!C$7,Main!$B$7:$K$7,0))</f>
        <v>4759466</v>
      </c>
      <c r="H30" s="45"/>
      <c r="I30" s="45"/>
      <c r="J30" s="45"/>
    </row>
    <row r="31" spans="2:10" x14ac:dyDescent="0.25">
      <c r="B31" s="45">
        <v>1993</v>
      </c>
      <c r="C31" s="57">
        <f>INDEX(Main!$B$7:$K$57,MATCH('3. Transport'!$B31,Main!$B$7:$B$57,0),MATCH('3. Transport'!C$7,Main!$B$7:$K$7,0))</f>
        <v>4721902</v>
      </c>
      <c r="H31" s="45"/>
      <c r="I31" s="45"/>
      <c r="J31" s="45"/>
    </row>
    <row r="32" spans="2:10" x14ac:dyDescent="0.25">
      <c r="B32" s="45">
        <v>1994</v>
      </c>
      <c r="C32" s="57">
        <f>INDEX(Main!$B$7:$K$57,MATCH('3. Transport'!$B32,Main!$B$7:$B$57,0),MATCH('3. Transport'!C$7,Main!$B$7:$K$7,0))</f>
        <v>5136870</v>
      </c>
      <c r="H32" s="45"/>
      <c r="I32" s="45"/>
      <c r="J32" s="45"/>
    </row>
    <row r="33" spans="2:10" x14ac:dyDescent="0.25">
      <c r="B33" s="45">
        <v>1995</v>
      </c>
      <c r="C33" s="57">
        <f>INDEX(Main!$B$7:$K$57,MATCH('3. Transport'!$B33,Main!$B$7:$B$57,0),MATCH('3. Transport'!C$7,Main!$B$7:$K$7,0))</f>
        <v>5646282</v>
      </c>
      <c r="H33" s="45"/>
      <c r="I33" s="45"/>
      <c r="J33" s="45"/>
    </row>
    <row r="34" spans="2:10" x14ac:dyDescent="0.25">
      <c r="B34" s="45">
        <v>1996</v>
      </c>
      <c r="C34" s="57">
        <f>INDEX(Main!$B$7:$K$57,MATCH('3. Transport'!$B34,Main!$B$7:$B$57,0),MATCH('3. Transport'!C$7,Main!$B$7:$K$7,0))</f>
        <v>5106172</v>
      </c>
      <c r="H34" s="45"/>
      <c r="I34" s="45"/>
      <c r="J34" s="45"/>
    </row>
    <row r="35" spans="2:10" x14ac:dyDescent="0.25">
      <c r="B35" s="45">
        <v>1997</v>
      </c>
      <c r="C35" s="57">
        <f>INDEX(Main!$B$7:$K$57,MATCH('3. Transport'!$B35,Main!$B$7:$B$57,0),MATCH('3. Transport'!C$7,Main!$B$7:$K$7,0))</f>
        <v>5064869</v>
      </c>
      <c r="H35" s="45"/>
      <c r="I35" s="45"/>
      <c r="J35" s="45"/>
    </row>
    <row r="36" spans="2:10" x14ac:dyDescent="0.25">
      <c r="B36" s="45">
        <v>1998</v>
      </c>
      <c r="C36" s="57">
        <f>INDEX(Main!$B$7:$K$57,MATCH('3. Transport'!$B36,Main!$B$7:$B$57,0),MATCH('3. Transport'!C$7,Main!$B$7:$K$7,0))</f>
        <v>5080118</v>
      </c>
      <c r="H36" s="45"/>
      <c r="I36" s="45"/>
      <c r="J36" s="45"/>
    </row>
    <row r="37" spans="2:10" x14ac:dyDescent="0.25">
      <c r="B37" s="45">
        <v>1999</v>
      </c>
      <c r="C37" s="57">
        <f>INDEX(Main!$B$7:$K$57,MATCH('3. Transport'!$B37,Main!$B$7:$B$57,0),MATCH('3. Transport'!C$7,Main!$B$7:$K$7,0))</f>
        <v>5137150</v>
      </c>
      <c r="H37" s="45"/>
      <c r="I37" s="45"/>
      <c r="J37" s="45"/>
    </row>
    <row r="38" spans="2:10" x14ac:dyDescent="0.25">
      <c r="B38" s="45">
        <v>2000</v>
      </c>
      <c r="C38" s="57">
        <f>INDEX(Main!$B$7:$K$57,MATCH('3. Transport'!$B38,Main!$B$7:$B$57,0),MATCH('3. Transport'!C$7,Main!$B$7:$K$7,0))</f>
        <v>5218509</v>
      </c>
      <c r="H38" s="45"/>
      <c r="I38" s="45"/>
      <c r="J38" s="45"/>
    </row>
    <row r="39" spans="2:10" x14ac:dyDescent="0.25">
      <c r="B39" s="45">
        <v>2001</v>
      </c>
      <c r="C39" s="57">
        <f>INDEX(Main!$B$7:$K$57,MATCH('3. Transport'!$B39,Main!$B$7:$B$57,0),MATCH('3. Transport'!C$7,Main!$B$7:$K$7,0))</f>
        <v>5316982</v>
      </c>
      <c r="H39" s="45"/>
      <c r="I39" s="45"/>
      <c r="J39" s="45"/>
    </row>
    <row r="40" spans="2:10" x14ac:dyDescent="0.25">
      <c r="B40" s="45">
        <v>2002</v>
      </c>
      <c r="C40" s="57">
        <f>INDEX(Main!$B$7:$K$57,MATCH('3. Transport'!$B40,Main!$B$7:$B$57,0),MATCH('3. Transport'!C$7,Main!$B$7:$K$7,0))</f>
        <v>5288905</v>
      </c>
      <c r="H40" s="45"/>
      <c r="I40" s="45"/>
      <c r="J40" s="45"/>
    </row>
    <row r="41" spans="2:10" x14ac:dyDescent="0.25">
      <c r="B41" s="45">
        <v>2003</v>
      </c>
      <c r="C41" s="57">
        <f>INDEX(Main!$B$7:$K$57,MATCH('3. Transport'!$B41,Main!$B$7:$B$57,0),MATCH('3. Transport'!C$7,Main!$B$7:$K$7,0))</f>
        <v>5305105</v>
      </c>
      <c r="H41" s="45"/>
      <c r="I41" s="45"/>
      <c r="J41" s="45"/>
    </row>
    <row r="42" spans="2:10" x14ac:dyDescent="0.25">
      <c r="B42" s="45">
        <v>2004</v>
      </c>
      <c r="C42" s="57">
        <f>INDEX(Main!$B$7:$K$57,MATCH('3. Transport'!$B42,Main!$B$7:$B$57,0),MATCH('3. Transport'!C$7,Main!$B$7:$K$7,0))</f>
        <v>5409759</v>
      </c>
      <c r="H42" s="45"/>
      <c r="I42" s="45"/>
      <c r="J42" s="45"/>
    </row>
    <row r="43" spans="2:10" x14ac:dyDescent="0.25">
      <c r="B43" s="45">
        <v>2005</v>
      </c>
      <c r="C43" s="57">
        <f>INDEX(Main!$B$7:$K$57,MATCH('3. Transport'!$B43,Main!$B$7:$B$57,0),MATCH('3. Transport'!C$7,Main!$B$7:$K$7,0))</f>
        <v>5593998</v>
      </c>
      <c r="H43" s="45"/>
      <c r="I43" s="45"/>
      <c r="J43" s="45"/>
    </row>
    <row r="44" spans="2:10" x14ac:dyDescent="0.25">
      <c r="B44" s="45">
        <v>2006</v>
      </c>
      <c r="C44" s="57">
        <f>INDEX(Main!$B$7:$K$57,MATCH('3. Transport'!$B44,Main!$B$7:$B$57,0),MATCH('3. Transport'!C$7,Main!$B$7:$K$7,0))</f>
        <v>5812398</v>
      </c>
      <c r="D44" s="19"/>
      <c r="G44" s="19"/>
      <c r="H44" s="45"/>
      <c r="I44" s="45"/>
      <c r="J44" s="45"/>
    </row>
    <row r="45" spans="2:10" x14ac:dyDescent="0.25">
      <c r="B45" s="45">
        <v>2007</v>
      </c>
      <c r="C45" s="57">
        <f>INDEX(Main!$B$7:$K$57,MATCH('3. Transport'!$B45,Main!$B$7:$B$57,0),MATCH('3. Transport'!C$7,Main!$B$7:$K$7,0))</f>
        <v>6007242</v>
      </c>
      <c r="D45" s="19"/>
      <c r="G45" s="19"/>
      <c r="H45" s="45"/>
      <c r="I45" s="45"/>
      <c r="J45" s="45"/>
    </row>
    <row r="46" spans="2:10" x14ac:dyDescent="0.25">
      <c r="B46" s="45">
        <v>2008</v>
      </c>
      <c r="C46" s="57">
        <f>INDEX(Main!$B$7:$K$57,MATCH('3. Transport'!$B46,Main!$B$7:$B$57,0),MATCH('3. Transport'!C$7,Main!$B$7:$K$7,0))</f>
        <v>6126606</v>
      </c>
      <c r="D46" s="19"/>
      <c r="G46" s="19"/>
      <c r="H46" s="45"/>
      <c r="I46" s="45"/>
      <c r="J46" s="45"/>
    </row>
    <row r="47" spans="2:10" x14ac:dyDescent="0.25">
      <c r="B47" s="45">
        <v>2009</v>
      </c>
      <c r="C47" s="57">
        <f>INDEX(Main!$B$7:$K$57,MATCH('3. Transport'!$B47,Main!$B$7:$B$57,0),MATCH('3. Transport'!C$7,Main!$B$7:$K$7,0))</f>
        <v>6704208</v>
      </c>
      <c r="D47" s="19"/>
      <c r="G47" s="19"/>
      <c r="H47" s="45"/>
      <c r="I47" s="45"/>
      <c r="J47" s="45"/>
    </row>
    <row r="48" spans="2:10" x14ac:dyDescent="0.25">
      <c r="B48" s="45">
        <v>2010</v>
      </c>
      <c r="C48" s="57">
        <f>INDEX(Main!$B$7:$K$57,MATCH('3. Transport'!$B48,Main!$B$7:$B$57,0),MATCH('3. Transport'!C$7,Main!$B$7:$K$7,0))</f>
        <v>7033252</v>
      </c>
      <c r="D48" s="19"/>
      <c r="G48" s="19"/>
      <c r="H48" s="45"/>
      <c r="I48" s="45"/>
      <c r="J48" s="45"/>
    </row>
    <row r="49" spans="2:12" x14ac:dyDescent="0.25">
      <c r="B49" s="45">
        <v>2011</v>
      </c>
      <c r="C49" s="57">
        <f>INDEX(Main!$B$7:$K$57,MATCH('3. Transport'!$B49,Main!$B$7:$B$57,0),MATCH('3. Transport'!C$7,Main!$B$7:$K$7,0))</f>
        <v>7551397</v>
      </c>
      <c r="D49" s="21"/>
      <c r="G49" s="21"/>
      <c r="H49" s="45"/>
      <c r="I49" s="45"/>
      <c r="J49" s="45"/>
    </row>
    <row r="50" spans="2:12" x14ac:dyDescent="0.25">
      <c r="B50" s="45">
        <v>2012</v>
      </c>
      <c r="C50" s="57">
        <f>INDEX(Main!$B$7:$K$57,MATCH('3. Transport'!$B50,Main!$B$7:$B$57,0),MATCH('3. Transport'!C$7,Main!$B$7:$K$7,0))</f>
        <v>7356646</v>
      </c>
      <c r="D50" s="21"/>
      <c r="G50" s="21"/>
      <c r="H50" s="45"/>
      <c r="I50" s="45"/>
      <c r="J50" s="45"/>
    </row>
    <row r="51" spans="2:12" x14ac:dyDescent="0.25">
      <c r="B51" s="45">
        <v>2013</v>
      </c>
      <c r="C51" s="57">
        <f>INDEX(Main!$B$7:$K$57,MATCH('3. Transport'!$B51,Main!$B$7:$B$57,0),MATCH('3. Transport'!C$7,Main!$B$7:$K$7,0))</f>
        <v>7111315</v>
      </c>
      <c r="H51" s="45"/>
      <c r="I51" s="45"/>
      <c r="J51" s="45"/>
    </row>
    <row r="52" spans="2:12" x14ac:dyDescent="0.25">
      <c r="B52" s="45">
        <v>2014</v>
      </c>
      <c r="C52" s="57">
        <f>INDEX(Main!$B$7:$K$57,MATCH('3. Transport'!$B52,Main!$B$7:$B$57,0),MATCH('3. Transport'!C$7,Main!$B$7:$K$7,0))</f>
        <v>6879395</v>
      </c>
      <c r="H52" s="45"/>
      <c r="I52" s="45"/>
      <c r="J52" s="45"/>
    </row>
    <row r="53" spans="2:12" x14ac:dyDescent="0.25">
      <c r="B53" s="45">
        <v>2015</v>
      </c>
      <c r="C53" s="57">
        <f>INDEX(Main!$B$7:$K$57,MATCH('3. Transport'!$B53,Main!$B$7:$B$57,0),MATCH('3. Transport'!C$7,Main!$B$7:$K$7,0))</f>
        <v>6640187</v>
      </c>
      <c r="H53" s="45"/>
      <c r="I53" s="45"/>
      <c r="J53" s="45"/>
    </row>
    <row r="54" spans="2:12" x14ac:dyDescent="0.25">
      <c r="B54" s="45">
        <v>2016</v>
      </c>
      <c r="C54" s="57">
        <f>INDEX(Main!$B$7:$K$57,MATCH('3. Transport'!$B54,Main!$B$7:$B$57,0),MATCH('3. Transport'!C$7,Main!$B$7:$K$7,0))</f>
        <v>6622245</v>
      </c>
      <c r="H54" s="45"/>
      <c r="I54" s="45"/>
      <c r="J54" s="45"/>
    </row>
    <row r="55" spans="2:12" x14ac:dyDescent="0.25">
      <c r="B55" s="45">
        <v>2017</v>
      </c>
      <c r="C55" s="57">
        <f>INDEX(Main!$B$7:$K$57,MATCH('3. Transport'!$B55,Main!$B$7:$B$57,0),MATCH('3. Transport'!C$7,Main!$B$7:$K$7,0))</f>
        <v>6894975</v>
      </c>
      <c r="H55" s="45"/>
      <c r="I55" s="45"/>
      <c r="J55" s="45"/>
    </row>
    <row r="56" spans="2:12" x14ac:dyDescent="0.25">
      <c r="B56" s="45">
        <v>2018</v>
      </c>
      <c r="C56" s="57">
        <f>INDEX(Main!$B$7:$K$57,MATCH('3. Transport'!$B56,Main!$B$7:$B$57,0),MATCH('3. Transport'!C$7,Main!$B$7:$K$7,0))</f>
        <v>6971313</v>
      </c>
      <c r="H56" s="45"/>
      <c r="I56" s="45"/>
      <c r="J56" s="45"/>
    </row>
    <row r="57" spans="2:12" x14ac:dyDescent="0.25">
      <c r="B57" s="45">
        <v>2019</v>
      </c>
      <c r="C57" s="57">
        <f>INDEX(Main!$B$7:$K$57,MATCH('3. Transport'!$B57,Main!$B$7:$B$57,0),MATCH('3. Transport'!C$7,Main!$B$7:$K$7,0))</f>
        <v>6798679</v>
      </c>
      <c r="H57" s="46">
        <v>6798679</v>
      </c>
      <c r="I57" s="46">
        <v>6798679</v>
      </c>
      <c r="J57" s="46">
        <v>6798679</v>
      </c>
    </row>
    <row r="58" spans="2:12" x14ac:dyDescent="0.25">
      <c r="B58" s="45">
        <v>2020</v>
      </c>
      <c r="C58" s="45"/>
      <c r="H58" s="47">
        <f>_xlfn.FORECAST.ETS(B58,$C$8:$C$57,$B$8:$B$57,1,1)</f>
        <v>7005451.2752512973</v>
      </c>
      <c r="I58" s="47">
        <f t="shared" ref="I58:I88" si="0">H58-_xlfn.FORECAST.ETS.CONFINT(B58,$C$8:$C$57,$B$8:$B$57,0.95,1,1)</f>
        <v>6400514.5907816198</v>
      </c>
      <c r="J58" s="47">
        <f t="shared" ref="J58:J88" si="1">H58+_xlfn.FORECAST.ETS.CONFINT(B58,$C$8:$C$57,$B$8:$B$57,0.95,1,1)</f>
        <v>7610387.9597209748</v>
      </c>
    </row>
    <row r="59" spans="2:12" x14ac:dyDescent="0.25">
      <c r="B59" s="45">
        <v>2021</v>
      </c>
      <c r="C59" s="45"/>
      <c r="H59" s="47">
        <f t="shared" ref="H59:H88" si="2">_xlfn.FORECAST.ETS(B59,$C$8:$C$57,$B$8:$B$57,1,1)</f>
        <v>7102114.0379816629</v>
      </c>
      <c r="I59" s="47">
        <f t="shared" si="0"/>
        <v>6478265.0346831679</v>
      </c>
      <c r="J59" s="47">
        <f t="shared" si="1"/>
        <v>7725963.0412801579</v>
      </c>
    </row>
    <row r="60" spans="2:12" x14ac:dyDescent="0.25">
      <c r="B60" s="45">
        <v>2022</v>
      </c>
      <c r="C60" s="45"/>
      <c r="H60" s="47">
        <f t="shared" si="2"/>
        <v>7090963.2556823511</v>
      </c>
      <c r="I60" s="47">
        <f t="shared" si="0"/>
        <v>6448614.7758414205</v>
      </c>
      <c r="J60" s="47">
        <f t="shared" si="1"/>
        <v>7733311.7355232816</v>
      </c>
    </row>
    <row r="61" spans="2:12" x14ac:dyDescent="0.25">
      <c r="B61" s="45">
        <v>2023</v>
      </c>
      <c r="C61" s="45"/>
      <c r="H61" s="47">
        <f t="shared" si="2"/>
        <v>7489518.8290907172</v>
      </c>
      <c r="I61" s="47">
        <f t="shared" si="0"/>
        <v>6829048.4694028385</v>
      </c>
      <c r="J61" s="47">
        <f t="shared" si="1"/>
        <v>8149989.188778596</v>
      </c>
    </row>
    <row r="62" spans="2:12" x14ac:dyDescent="0.25">
      <c r="B62" s="45">
        <v>2024</v>
      </c>
      <c r="C62" s="45"/>
      <c r="H62" s="47">
        <f t="shared" si="2"/>
        <v>7577629.1997098755</v>
      </c>
      <c r="I62" s="47">
        <f t="shared" si="0"/>
        <v>6899383.7498687748</v>
      </c>
      <c r="J62" s="47">
        <f t="shared" si="1"/>
        <v>8255874.6495509762</v>
      </c>
    </row>
    <row r="63" spans="2:12" x14ac:dyDescent="0.25">
      <c r="B63" s="45">
        <v>2025</v>
      </c>
      <c r="C63" s="45"/>
      <c r="H63" s="47">
        <f t="shared" si="2"/>
        <v>8129360.3356862646</v>
      </c>
      <c r="I63" s="47">
        <f t="shared" si="0"/>
        <v>7433659.4775133701</v>
      </c>
      <c r="J63" s="47">
        <f t="shared" si="1"/>
        <v>8825061.1938591599</v>
      </c>
    </row>
    <row r="64" spans="2:12" ht="15" x14ac:dyDescent="0.25">
      <c r="B64" s="45">
        <v>2026</v>
      </c>
      <c r="C64" s="45"/>
      <c r="H64" s="47">
        <f t="shared" si="2"/>
        <v>8251902.423532242</v>
      </c>
      <c r="I64" s="47">
        <f t="shared" si="0"/>
        <v>7539041.8414966986</v>
      </c>
      <c r="J64" s="47">
        <f t="shared" si="1"/>
        <v>8964763.0055677854</v>
      </c>
      <c r="K64"/>
      <c r="L64"/>
    </row>
    <row r="65" spans="2:12" ht="15" x14ac:dyDescent="0.25">
      <c r="B65" s="45">
        <v>2027</v>
      </c>
      <c r="C65" s="45"/>
      <c r="H65" s="47">
        <f t="shared" si="2"/>
        <v>8343157.8843049584</v>
      </c>
      <c r="I65" s="47">
        <f t="shared" si="0"/>
        <v>7613411.9023361662</v>
      </c>
      <c r="J65" s="47">
        <f t="shared" si="1"/>
        <v>9072903.8662737515</v>
      </c>
      <c r="K65"/>
      <c r="L65"/>
    </row>
    <row r="66" spans="2:12" ht="15" x14ac:dyDescent="0.25">
      <c r="B66" s="45">
        <v>2028</v>
      </c>
      <c r="C66" s="45"/>
      <c r="H66" s="47">
        <f t="shared" si="2"/>
        <v>8624922.7942691594</v>
      </c>
      <c r="I66" s="47">
        <f t="shared" si="0"/>
        <v>7878546.6275154799</v>
      </c>
      <c r="J66" s="47">
        <f t="shared" si="1"/>
        <v>9371298.961022839</v>
      </c>
      <c r="K66"/>
      <c r="L66"/>
    </row>
    <row r="67" spans="2:12" ht="15" x14ac:dyDescent="0.25">
      <c r="B67" s="45">
        <v>2029</v>
      </c>
      <c r="C67" s="45"/>
      <c r="H67" s="47">
        <f t="shared" si="2"/>
        <v>8774610.4322505891</v>
      </c>
      <c r="I67" s="47">
        <f t="shared" si="0"/>
        <v>8011842.1229903018</v>
      </c>
      <c r="J67" s="47">
        <f t="shared" si="1"/>
        <v>9537378.7415108755</v>
      </c>
      <c r="K67"/>
      <c r="L67"/>
    </row>
    <row r="68" spans="2:12" ht="15" x14ac:dyDescent="0.25">
      <c r="B68" s="45">
        <v>2030</v>
      </c>
      <c r="C68" s="45"/>
      <c r="H68" s="47">
        <f t="shared" si="2"/>
        <v>8609169.9710967336</v>
      </c>
      <c r="I68" s="47">
        <f t="shared" si="0"/>
        <v>7830232.0634057401</v>
      </c>
      <c r="J68" s="47">
        <f t="shared" si="1"/>
        <v>9388107.8787877262</v>
      </c>
      <c r="K68"/>
      <c r="L68"/>
    </row>
    <row r="69" spans="2:12" ht="15" x14ac:dyDescent="0.25">
      <c r="B69" s="45">
        <v>2031</v>
      </c>
      <c r="C69" s="45"/>
      <c r="H69" s="47">
        <f t="shared" si="2"/>
        <v>8505704.4559661672</v>
      </c>
      <c r="I69" s="47">
        <f t="shared" si="0"/>
        <v>7710805.4526497852</v>
      </c>
      <c r="J69" s="47">
        <f t="shared" si="1"/>
        <v>9300603.4592825491</v>
      </c>
      <c r="K69"/>
      <c r="L69"/>
    </row>
    <row r="70" spans="2:12" ht="15" x14ac:dyDescent="0.25">
      <c r="B70" s="45">
        <v>2032</v>
      </c>
      <c r="C70" s="45"/>
      <c r="H70" s="47">
        <f t="shared" si="2"/>
        <v>8529904.7932729349</v>
      </c>
      <c r="I70" s="47">
        <f t="shared" si="0"/>
        <v>7719240.4300407479</v>
      </c>
      <c r="J70" s="47">
        <f t="shared" si="1"/>
        <v>9340569.1565051209</v>
      </c>
      <c r="K70"/>
      <c r="L70"/>
    </row>
    <row r="71" spans="2:12" ht="15" x14ac:dyDescent="0.25">
      <c r="B71" s="45">
        <v>2033</v>
      </c>
      <c r="C71" s="45"/>
      <c r="H71" s="47">
        <f t="shared" si="2"/>
        <v>8660821.3184116762</v>
      </c>
      <c r="I71" s="47">
        <f t="shared" si="0"/>
        <v>7834575.6836524876</v>
      </c>
      <c r="J71" s="47">
        <f t="shared" si="1"/>
        <v>9487066.9531708658</v>
      </c>
      <c r="K71"/>
      <c r="L71"/>
    </row>
    <row r="72" spans="2:12" ht="15" x14ac:dyDescent="0.25">
      <c r="B72" s="45">
        <v>2034</v>
      </c>
      <c r="C72" s="45"/>
      <c r="H72" s="47">
        <f t="shared" si="2"/>
        <v>8841368.4893020391</v>
      </c>
      <c r="I72" s="47">
        <f t="shared" si="0"/>
        <v>7999715.0126252864</v>
      </c>
      <c r="J72" s="47">
        <f t="shared" si="1"/>
        <v>9683021.9659787919</v>
      </c>
      <c r="K72"/>
      <c r="L72"/>
    </row>
    <row r="73" spans="2:12" ht="15" x14ac:dyDescent="0.25">
      <c r="B73" s="45">
        <v>2035</v>
      </c>
      <c r="C73" s="45"/>
      <c r="H73" s="47">
        <f t="shared" si="2"/>
        <v>8995539.0944151357</v>
      </c>
      <c r="I73" s="47">
        <f t="shared" si="0"/>
        <v>8138641.4230203638</v>
      </c>
      <c r="J73" s="47">
        <f t="shared" si="1"/>
        <v>9852436.7658099085</v>
      </c>
      <c r="K73"/>
      <c r="L73"/>
    </row>
    <row r="74" spans="2:12" ht="15" x14ac:dyDescent="0.25">
      <c r="B74" s="45">
        <v>2036</v>
      </c>
      <c r="C74" s="45"/>
      <c r="H74" s="47">
        <f t="shared" si="2"/>
        <v>8869985.9043217506</v>
      </c>
      <c r="I74" s="47">
        <f t="shared" si="0"/>
        <v>7997998.6829850199</v>
      </c>
      <c r="J74" s="47">
        <f t="shared" si="1"/>
        <v>9741973.1256584823</v>
      </c>
      <c r="K74"/>
      <c r="L74"/>
    </row>
    <row r="75" spans="2:12" ht="15" x14ac:dyDescent="0.25">
      <c r="B75" s="45">
        <v>2037</v>
      </c>
      <c r="C75" s="45"/>
      <c r="H75" s="47">
        <f t="shared" si="2"/>
        <v>8956380.1211876608</v>
      </c>
      <c r="I75" s="47">
        <f t="shared" si="0"/>
        <v>8029797.9874467645</v>
      </c>
      <c r="J75" s="47">
        <f t="shared" si="1"/>
        <v>9882962.2549285572</v>
      </c>
      <c r="K75"/>
      <c r="L75"/>
    </row>
    <row r="76" spans="2:12" ht="15" x14ac:dyDescent="0.25">
      <c r="B76" s="45">
        <v>2038</v>
      </c>
      <c r="C76" s="45"/>
      <c r="H76" s="47">
        <f t="shared" si="2"/>
        <v>9053042.8839180283</v>
      </c>
      <c r="I76" s="47">
        <f t="shared" si="0"/>
        <v>8112279.9795807786</v>
      </c>
      <c r="J76" s="47">
        <f t="shared" si="1"/>
        <v>9993805.788255278</v>
      </c>
      <c r="K76"/>
      <c r="L76"/>
    </row>
    <row r="77" spans="2:12" ht="15" x14ac:dyDescent="0.25">
      <c r="B77" s="45">
        <v>2039</v>
      </c>
      <c r="C77" s="45"/>
      <c r="H77" s="47">
        <f t="shared" si="2"/>
        <v>9041892.1016187165</v>
      </c>
      <c r="I77" s="47">
        <f t="shared" si="0"/>
        <v>8087055.7386906547</v>
      </c>
      <c r="J77" s="47">
        <f t="shared" si="1"/>
        <v>9996728.4645467773</v>
      </c>
      <c r="K77"/>
      <c r="L77"/>
    </row>
    <row r="78" spans="2:12" ht="15" x14ac:dyDescent="0.25">
      <c r="B78" s="45">
        <v>2040</v>
      </c>
      <c r="C78" s="45"/>
      <c r="H78" s="47">
        <f t="shared" si="2"/>
        <v>9440447.6750270817</v>
      </c>
      <c r="I78" s="47">
        <f t="shared" si="0"/>
        <v>8471640.1111411937</v>
      </c>
      <c r="J78" s="47">
        <f t="shared" si="1"/>
        <v>10409255.23891297</v>
      </c>
      <c r="K78"/>
      <c r="L78"/>
    </row>
    <row r="79" spans="2:12" ht="15.6" x14ac:dyDescent="0.3">
      <c r="B79" s="45">
        <v>2041</v>
      </c>
      <c r="C79" s="45"/>
      <c r="H79" s="47">
        <f t="shared" si="2"/>
        <v>9528558.0456462391</v>
      </c>
      <c r="I79" s="47">
        <f t="shared" si="0"/>
        <v>8545876.804504279</v>
      </c>
      <c r="J79" s="47">
        <f t="shared" si="1"/>
        <v>10511239.286788199</v>
      </c>
      <c r="K79" s="20"/>
      <c r="L79" s="20"/>
    </row>
    <row r="80" spans="2:12" ht="15" x14ac:dyDescent="0.25">
      <c r="B80" s="45">
        <v>2042</v>
      </c>
      <c r="C80" s="45"/>
      <c r="H80" s="47">
        <f t="shared" si="2"/>
        <v>10080289.181622628</v>
      </c>
      <c r="I80" s="47">
        <f t="shared" si="0"/>
        <v>9083827.3462190554</v>
      </c>
      <c r="J80" s="47">
        <f t="shared" si="1"/>
        <v>11076751.017026201</v>
      </c>
      <c r="K80"/>
      <c r="L80"/>
    </row>
    <row r="81" spans="2:12" ht="15" x14ac:dyDescent="0.25">
      <c r="B81" s="45">
        <v>2043</v>
      </c>
      <c r="C81" s="45"/>
      <c r="H81" s="47">
        <f t="shared" si="2"/>
        <v>10202831.269468607</v>
      </c>
      <c r="I81" s="47">
        <f t="shared" si="0"/>
        <v>9192677.750982454</v>
      </c>
      <c r="J81" s="47">
        <f t="shared" si="1"/>
        <v>11212984.787954761</v>
      </c>
      <c r="K81"/>
      <c r="L81"/>
    </row>
    <row r="82" spans="2:12" ht="15" x14ac:dyDescent="0.25">
      <c r="B82" s="45">
        <v>2044</v>
      </c>
      <c r="C82" s="45"/>
      <c r="H82" s="47">
        <f t="shared" si="2"/>
        <v>10294086.730241325</v>
      </c>
      <c r="I82" s="47">
        <f t="shared" si="0"/>
        <v>9270326.5151170138</v>
      </c>
      <c r="J82" s="47">
        <f t="shared" si="1"/>
        <v>11317846.945365636</v>
      </c>
      <c r="K82"/>
      <c r="L82"/>
    </row>
    <row r="83" spans="2:12" ht="15" x14ac:dyDescent="0.25">
      <c r="B83" s="45">
        <v>2045</v>
      </c>
      <c r="C83" s="45"/>
      <c r="H83" s="47">
        <f t="shared" si="2"/>
        <v>10575851.640205525</v>
      </c>
      <c r="I83" s="47">
        <f t="shared" si="0"/>
        <v>9538566.0176324025</v>
      </c>
      <c r="J83" s="47">
        <f t="shared" si="1"/>
        <v>11613137.262778647</v>
      </c>
      <c r="K83"/>
      <c r="L83"/>
    </row>
    <row r="84" spans="2:12" ht="15" x14ac:dyDescent="0.25">
      <c r="B84" s="45">
        <v>2046</v>
      </c>
      <c r="C84" s="45"/>
      <c r="H84" s="47">
        <f t="shared" si="2"/>
        <v>10725539.278186953</v>
      </c>
      <c r="I84" s="47">
        <f t="shared" si="0"/>
        <v>9674806.0499204509</v>
      </c>
      <c r="J84" s="47">
        <f t="shared" si="1"/>
        <v>11776272.506453454</v>
      </c>
      <c r="K84"/>
      <c r="L84"/>
    </row>
    <row r="85" spans="2:12" ht="15" x14ac:dyDescent="0.25">
      <c r="B85" s="45">
        <v>2047</v>
      </c>
      <c r="C85" s="45"/>
      <c r="H85" s="47">
        <f t="shared" si="2"/>
        <v>10560098.817033099</v>
      </c>
      <c r="I85" s="47">
        <f t="shared" si="0"/>
        <v>9495992.491270747</v>
      </c>
      <c r="J85" s="47">
        <f t="shared" si="1"/>
        <v>11624205.142795451</v>
      </c>
      <c r="K85"/>
      <c r="L85"/>
    </row>
    <row r="86" spans="2:12" ht="15" x14ac:dyDescent="0.25">
      <c r="B86" s="45">
        <v>2048</v>
      </c>
      <c r="C86" s="45"/>
      <c r="H86" s="47">
        <f t="shared" si="2"/>
        <v>10456633.301902531</v>
      </c>
      <c r="I86" s="47">
        <f t="shared" si="0"/>
        <v>9379225.2727297246</v>
      </c>
      <c r="J86" s="47">
        <f t="shared" si="1"/>
        <v>11534041.331075337</v>
      </c>
      <c r="K86"/>
      <c r="L86"/>
    </row>
    <row r="87" spans="2:12" ht="15" x14ac:dyDescent="0.25">
      <c r="B87" s="45">
        <v>2049</v>
      </c>
      <c r="C87" s="45"/>
      <c r="H87" s="47">
        <f t="shared" si="2"/>
        <v>10480833.6392093</v>
      </c>
      <c r="I87" s="47">
        <f t="shared" si="0"/>
        <v>9390192.3529580161</v>
      </c>
      <c r="J87" s="47">
        <f t="shared" si="1"/>
        <v>11571474.925460584</v>
      </c>
      <c r="K87"/>
      <c r="L87"/>
    </row>
    <row r="88" spans="2:12" ht="15" x14ac:dyDescent="0.25">
      <c r="B88" s="45">
        <v>2050</v>
      </c>
      <c r="C88" s="45"/>
      <c r="H88" s="47">
        <f t="shared" si="2"/>
        <v>10611750.164348042</v>
      </c>
      <c r="I88" s="47">
        <f t="shared" si="0"/>
        <v>9507941.274062356</v>
      </c>
      <c r="J88" s="47">
        <f t="shared" si="1"/>
        <v>11715559.054633727</v>
      </c>
      <c r="K88"/>
      <c r="L88"/>
    </row>
    <row r="89" spans="2:12" ht="15" x14ac:dyDescent="0.25">
      <c r="B89"/>
      <c r="C89"/>
      <c r="H89"/>
      <c r="I89"/>
      <c r="J89"/>
      <c r="K89"/>
      <c r="L89"/>
    </row>
    <row r="90" spans="2:12" ht="15" x14ac:dyDescent="0.25">
      <c r="B90"/>
      <c r="C90"/>
      <c r="H90"/>
      <c r="I90"/>
      <c r="J90"/>
      <c r="K90"/>
      <c r="L90"/>
    </row>
    <row r="91" spans="2:12" ht="15" x14ac:dyDescent="0.25">
      <c r="B91"/>
      <c r="C91"/>
      <c r="H91"/>
      <c r="I91"/>
      <c r="J91"/>
      <c r="K91"/>
      <c r="L91"/>
    </row>
    <row r="92" spans="2:12" ht="15" x14ac:dyDescent="0.25">
      <c r="B92"/>
      <c r="C92"/>
      <c r="H92"/>
      <c r="I92"/>
      <c r="J92"/>
      <c r="K92"/>
      <c r="L92"/>
    </row>
    <row r="93" spans="2:12" ht="15" x14ac:dyDescent="0.25">
      <c r="B93"/>
      <c r="C93"/>
      <c r="H93"/>
      <c r="I93"/>
      <c r="J93"/>
      <c r="K93"/>
      <c r="L93"/>
    </row>
    <row r="94" spans="2:12" ht="15" x14ac:dyDescent="0.25">
      <c r="B94"/>
      <c r="C94"/>
      <c r="H94"/>
      <c r="I94"/>
      <c r="J94"/>
      <c r="K94"/>
      <c r="L94"/>
    </row>
    <row r="95" spans="2:12" ht="15" x14ac:dyDescent="0.25">
      <c r="B95"/>
      <c r="C95"/>
      <c r="H95"/>
      <c r="I95"/>
      <c r="J95"/>
      <c r="K95"/>
      <c r="L95"/>
    </row>
    <row r="96" spans="2:12" ht="15" x14ac:dyDescent="0.25">
      <c r="B96"/>
      <c r="C96"/>
      <c r="H96"/>
      <c r="I96"/>
      <c r="J96"/>
      <c r="K96"/>
      <c r="L96"/>
    </row>
    <row r="97" spans="2:12" ht="15" x14ac:dyDescent="0.25">
      <c r="B97"/>
      <c r="C97"/>
      <c r="H97"/>
      <c r="I97"/>
      <c r="J97"/>
      <c r="K97"/>
      <c r="L97"/>
    </row>
    <row r="98" spans="2:12" ht="15" x14ac:dyDescent="0.25">
      <c r="B98"/>
      <c r="C98"/>
      <c r="H98"/>
      <c r="I98"/>
      <c r="J98"/>
      <c r="K98"/>
      <c r="L98"/>
    </row>
    <row r="99" spans="2:12" ht="15" x14ac:dyDescent="0.25">
      <c r="B99"/>
      <c r="C99"/>
      <c r="H99"/>
      <c r="I99"/>
      <c r="J99"/>
      <c r="K99"/>
      <c r="L99"/>
    </row>
    <row r="100" spans="2:12" ht="15" x14ac:dyDescent="0.25">
      <c r="B100"/>
      <c r="C100"/>
      <c r="H100"/>
      <c r="I100"/>
      <c r="J100"/>
      <c r="K100"/>
      <c r="L100"/>
    </row>
    <row r="101" spans="2:12" ht="15" x14ac:dyDescent="0.25">
      <c r="B101"/>
      <c r="C101"/>
      <c r="H101"/>
      <c r="I101"/>
      <c r="J101"/>
      <c r="K101"/>
      <c r="L101"/>
    </row>
    <row r="102" spans="2:12" ht="15" x14ac:dyDescent="0.25">
      <c r="B102"/>
      <c r="C102"/>
      <c r="H102"/>
      <c r="I102"/>
      <c r="J102"/>
      <c r="K102"/>
      <c r="L102"/>
    </row>
    <row r="103" spans="2:12" ht="15" x14ac:dyDescent="0.25">
      <c r="B103"/>
      <c r="C103"/>
      <c r="H103"/>
      <c r="I103"/>
      <c r="J103"/>
      <c r="K103"/>
      <c r="L103"/>
    </row>
    <row r="104" spans="2:12" ht="15" x14ac:dyDescent="0.25">
      <c r="B104"/>
      <c r="C104"/>
      <c r="H104"/>
      <c r="I104"/>
      <c r="J104"/>
      <c r="K104"/>
      <c r="L104"/>
    </row>
    <row r="105" spans="2:12" ht="15" x14ac:dyDescent="0.25">
      <c r="B105"/>
      <c r="C105"/>
      <c r="H105"/>
      <c r="I105"/>
      <c r="J105"/>
      <c r="K105"/>
      <c r="L105"/>
    </row>
    <row r="106" spans="2:12" ht="15" x14ac:dyDescent="0.25">
      <c r="B106"/>
      <c r="C106"/>
      <c r="H106"/>
      <c r="I106"/>
      <c r="J106"/>
      <c r="K106"/>
      <c r="L106"/>
    </row>
    <row r="107" spans="2:12" ht="15" x14ac:dyDescent="0.25">
      <c r="B107"/>
      <c r="C107"/>
      <c r="H107"/>
      <c r="I107"/>
      <c r="J107"/>
      <c r="K107"/>
      <c r="L107"/>
    </row>
    <row r="108" spans="2:12" ht="15" x14ac:dyDescent="0.25">
      <c r="B108"/>
      <c r="C108"/>
      <c r="H108"/>
      <c r="I108"/>
      <c r="J108"/>
      <c r="K108"/>
      <c r="L108"/>
    </row>
    <row r="109" spans="2:12" ht="15" x14ac:dyDescent="0.25">
      <c r="B109"/>
      <c r="C109"/>
      <c r="H109"/>
      <c r="I109"/>
      <c r="J109"/>
      <c r="K109"/>
      <c r="L109"/>
    </row>
    <row r="110" spans="2:12" ht="15" x14ac:dyDescent="0.25">
      <c r="B110"/>
      <c r="C110"/>
      <c r="H110"/>
      <c r="I110"/>
      <c r="J110"/>
      <c r="K110"/>
      <c r="L110"/>
    </row>
    <row r="111" spans="2:12" ht="15" x14ac:dyDescent="0.25">
      <c r="B111"/>
      <c r="C111"/>
      <c r="H111"/>
      <c r="I111"/>
      <c r="J111"/>
      <c r="K111"/>
      <c r="L111"/>
    </row>
    <row r="112" spans="2:12" ht="15" x14ac:dyDescent="0.25">
      <c r="B112"/>
      <c r="C112"/>
      <c r="H112"/>
      <c r="I112"/>
      <c r="J112"/>
      <c r="K112"/>
      <c r="L112"/>
    </row>
    <row r="113" spans="2:12" ht="15" x14ac:dyDescent="0.25">
      <c r="B113"/>
      <c r="C113"/>
      <c r="H113"/>
      <c r="I113"/>
      <c r="J113"/>
      <c r="K113"/>
      <c r="L113"/>
    </row>
    <row r="114" spans="2:12" ht="15" x14ac:dyDescent="0.25">
      <c r="B114"/>
      <c r="C114"/>
      <c r="H114"/>
      <c r="I114"/>
      <c r="J114"/>
      <c r="K114"/>
      <c r="L114"/>
    </row>
    <row r="115" spans="2:12" ht="15" x14ac:dyDescent="0.25">
      <c r="B115"/>
      <c r="C115"/>
      <c r="H115"/>
      <c r="I115"/>
      <c r="J115"/>
      <c r="K115"/>
      <c r="L115"/>
    </row>
    <row r="116" spans="2:12" ht="15" x14ac:dyDescent="0.25">
      <c r="B116"/>
      <c r="C116"/>
      <c r="H116"/>
      <c r="I116"/>
      <c r="J116"/>
      <c r="K116"/>
      <c r="L116"/>
    </row>
    <row r="117" spans="2:12" ht="15" x14ac:dyDescent="0.25">
      <c r="B117"/>
      <c r="C117"/>
      <c r="H117"/>
      <c r="I117"/>
      <c r="J117"/>
      <c r="K117"/>
      <c r="L117"/>
    </row>
    <row r="118" spans="2:12" ht="15" x14ac:dyDescent="0.25">
      <c r="B118"/>
      <c r="C118"/>
      <c r="H118"/>
      <c r="I118"/>
      <c r="J118"/>
      <c r="K118"/>
      <c r="L118"/>
    </row>
    <row r="119" spans="2:12" ht="15" x14ac:dyDescent="0.25">
      <c r="B119"/>
      <c r="C119"/>
      <c r="H119"/>
      <c r="I119"/>
      <c r="J119"/>
      <c r="K119"/>
      <c r="L119"/>
    </row>
    <row r="120" spans="2:12" ht="15" x14ac:dyDescent="0.25">
      <c r="B120"/>
      <c r="C120"/>
      <c r="H120"/>
      <c r="I120"/>
      <c r="J120"/>
      <c r="K120"/>
      <c r="L120"/>
    </row>
    <row r="121" spans="2:12" ht="15.6" thickBot="1" x14ac:dyDescent="0.3">
      <c r="B121" s="16"/>
      <c r="C121" s="16"/>
      <c r="H121"/>
      <c r="I121"/>
      <c r="J121"/>
      <c r="K121"/>
      <c r="L121"/>
    </row>
    <row r="122" spans="2:12" ht="15" x14ac:dyDescent="0.25">
      <c r="B122"/>
      <c r="C122"/>
      <c r="H122"/>
      <c r="I122"/>
      <c r="J122"/>
      <c r="K122"/>
      <c r="L122"/>
    </row>
    <row r="123" spans="2:12" ht="15.6" thickBot="1" x14ac:dyDescent="0.3">
      <c r="B123" s="16"/>
      <c r="C123" s="16"/>
      <c r="H123"/>
      <c r="I123"/>
      <c r="J123"/>
      <c r="K123"/>
      <c r="L123"/>
    </row>
  </sheetData>
  <conditionalFormatting sqref="C8:C88 H8:J88">
    <cfRule type="expression" dxfId="21" priority="1">
      <formula>ISBLANK(C8)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78229-52A4-4ABD-8498-B8034D67995C}">
  <sheetPr codeName="Sheet4">
    <tabColor theme="5" tint="0.79998168889431442"/>
  </sheetPr>
  <dimension ref="A1:CK90"/>
  <sheetViews>
    <sheetView showGridLines="0" zoomScale="80" zoomScaleNormal="80" workbookViewId="0">
      <selection activeCell="S73" sqref="S73"/>
    </sheetView>
  </sheetViews>
  <sheetFormatPr defaultColWidth="8.7265625" defaultRowHeight="15" x14ac:dyDescent="0.25"/>
  <cols>
    <col min="1" max="1" width="3.453125" style="1" customWidth="1"/>
    <col min="2" max="2" width="12.26953125" customWidth="1"/>
    <col min="3" max="3" width="14.26953125" bestFit="1" customWidth="1"/>
    <col min="4" max="7" width="12.453125" customWidth="1"/>
    <col min="8" max="8" width="10.7265625" customWidth="1"/>
    <col min="9" max="11" width="10" bestFit="1" customWidth="1"/>
  </cols>
  <sheetData>
    <row r="1" spans="1:89" ht="22.8" x14ac:dyDescent="0.4">
      <c r="B1" s="83" t="s">
        <v>195</v>
      </c>
      <c r="D1" s="1"/>
      <c r="E1" s="1"/>
      <c r="F1" s="1"/>
      <c r="G1" s="1"/>
      <c r="H1" s="1"/>
      <c r="I1" s="1"/>
    </row>
    <row r="2" spans="1:89" ht="12" customHeight="1" x14ac:dyDescent="0.4">
      <c r="B2" s="6"/>
      <c r="D2" s="1"/>
      <c r="E2" s="1"/>
      <c r="F2" s="1"/>
      <c r="G2" s="1"/>
      <c r="H2" s="1"/>
      <c r="I2" s="1"/>
    </row>
    <row r="3" spans="1:89" ht="16.95" customHeight="1" x14ac:dyDescent="0.25">
      <c r="B3" s="2" t="s">
        <v>141</v>
      </c>
      <c r="C3" s="116">
        <f>COUNTA(4:4)-1</f>
        <v>9</v>
      </c>
      <c r="D3" s="84" t="s">
        <v>142</v>
      </c>
      <c r="E3" s="1"/>
      <c r="F3" s="1"/>
      <c r="G3" s="1"/>
      <c r="H3" s="1"/>
      <c r="I3" s="1"/>
    </row>
    <row r="4" spans="1:89" x14ac:dyDescent="0.25">
      <c r="A4" s="43"/>
      <c r="B4" s="2" t="s">
        <v>143</v>
      </c>
      <c r="C4" s="114" t="s">
        <v>8</v>
      </c>
      <c r="D4" s="114" t="s">
        <v>71</v>
      </c>
      <c r="E4" s="114" t="s">
        <v>72</v>
      </c>
      <c r="F4" s="114" t="s">
        <v>72</v>
      </c>
      <c r="G4" s="114" t="s">
        <v>8</v>
      </c>
      <c r="H4" s="114" t="s">
        <v>8</v>
      </c>
      <c r="I4" s="114" t="s">
        <v>72</v>
      </c>
      <c r="J4" s="114" t="s">
        <v>8</v>
      </c>
      <c r="K4" s="114" t="s">
        <v>72</v>
      </c>
    </row>
    <row r="5" spans="1:89" x14ac:dyDescent="0.25">
      <c r="B5" s="2" t="s">
        <v>144</v>
      </c>
      <c r="C5" s="114" t="s">
        <v>8</v>
      </c>
      <c r="D5" s="114" t="s">
        <v>71</v>
      </c>
      <c r="E5" s="114" t="s">
        <v>72</v>
      </c>
      <c r="F5" s="114" t="s">
        <v>8</v>
      </c>
      <c r="G5" s="114" t="s">
        <v>72</v>
      </c>
      <c r="H5" s="114" t="s">
        <v>8</v>
      </c>
      <c r="I5" s="114" t="s">
        <v>72</v>
      </c>
      <c r="J5" s="114" t="s">
        <v>72</v>
      </c>
      <c r="K5" s="114" t="s">
        <v>8</v>
      </c>
    </row>
    <row r="6" spans="1:89" x14ac:dyDescent="0.25">
      <c r="B6" s="2" t="s">
        <v>145</v>
      </c>
      <c r="C6" s="114" t="s">
        <v>8</v>
      </c>
      <c r="D6" s="114" t="s">
        <v>71</v>
      </c>
      <c r="E6" s="114" t="s">
        <v>72</v>
      </c>
      <c r="F6" s="114" t="s">
        <v>8</v>
      </c>
      <c r="G6" s="114" t="s">
        <v>8</v>
      </c>
      <c r="H6" s="114" t="s">
        <v>72</v>
      </c>
      <c r="I6" s="114" t="s">
        <v>8</v>
      </c>
      <c r="J6" s="114" t="s">
        <v>72</v>
      </c>
      <c r="K6" s="114" t="s">
        <v>72</v>
      </c>
    </row>
    <row r="7" spans="1:89" x14ac:dyDescent="0.25">
      <c r="B7" s="2" t="s">
        <v>146</v>
      </c>
      <c r="C7" s="115">
        <v>0.01</v>
      </c>
      <c r="D7" s="115">
        <v>0.01</v>
      </c>
      <c r="E7" s="115">
        <v>0.01</v>
      </c>
      <c r="F7" s="115">
        <v>0.01</v>
      </c>
      <c r="G7" s="115">
        <v>0.01</v>
      </c>
      <c r="H7" s="115">
        <v>0.01</v>
      </c>
      <c r="I7" s="115">
        <v>0.01</v>
      </c>
      <c r="J7" s="115">
        <v>0.01</v>
      </c>
      <c r="K7" s="115">
        <v>0.01</v>
      </c>
    </row>
    <row r="9" spans="1:89" x14ac:dyDescent="0.25">
      <c r="B9" s="9" t="s">
        <v>15</v>
      </c>
      <c r="C9" s="77" t="s">
        <v>147</v>
      </c>
      <c r="D9" s="77" t="s">
        <v>148</v>
      </c>
      <c r="E9" s="77" t="s">
        <v>149</v>
      </c>
      <c r="F9" s="77" t="s">
        <v>150</v>
      </c>
      <c r="G9" s="77" t="s">
        <v>151</v>
      </c>
      <c r="H9" s="77" t="s">
        <v>152</v>
      </c>
      <c r="I9" s="77" t="s">
        <v>153</v>
      </c>
      <c r="J9" s="77" t="s">
        <v>154</v>
      </c>
      <c r="K9" s="77" t="s">
        <v>155</v>
      </c>
      <c r="BF9">
        <v>53365405</v>
      </c>
      <c r="BG9">
        <v>57096288.088990696</v>
      </c>
      <c r="BH9">
        <v>57767717.34390638</v>
      </c>
      <c r="BI9">
        <v>58453999.288608707</v>
      </c>
      <c r="BJ9">
        <v>59553664.970307</v>
      </c>
      <c r="BK9">
        <v>60332196.358193018</v>
      </c>
      <c r="BL9">
        <v>61568920.096531436</v>
      </c>
      <c r="BM9">
        <v>62360327.938613079</v>
      </c>
      <c r="BN9">
        <v>63110959.686807409</v>
      </c>
      <c r="BO9">
        <v>64044654.761881419</v>
      </c>
      <c r="BP9">
        <v>64834090.198961176</v>
      </c>
      <c r="BQ9">
        <v>65293408.996224113</v>
      </c>
      <c r="BR9">
        <v>65804016.924882755</v>
      </c>
      <c r="BS9">
        <v>66432195.158364415</v>
      </c>
      <c r="BT9">
        <v>67156523.675636843</v>
      </c>
      <c r="BU9">
        <v>67918963.799149185</v>
      </c>
      <c r="BV9">
        <v>68642435.994019195</v>
      </c>
      <c r="BW9">
        <v>69070578.762834415</v>
      </c>
      <c r="BX9">
        <v>69741290.264822036</v>
      </c>
      <c r="BY9">
        <v>70369799.635949254</v>
      </c>
      <c r="BZ9">
        <v>70877880.961588547</v>
      </c>
      <c r="CA9">
        <v>71789808.00906156</v>
      </c>
      <c r="CB9">
        <v>72376943.816411346</v>
      </c>
      <c r="CC9">
        <v>73423222.681819201</v>
      </c>
      <c r="CD9">
        <v>74025576.339503631</v>
      </c>
      <c r="CE9">
        <v>74587639.483783245</v>
      </c>
      <c r="CF9">
        <v>75334692.804037064</v>
      </c>
      <c r="CG9">
        <v>75940688.439015016</v>
      </c>
      <c r="CH9">
        <v>76220749.321258724</v>
      </c>
      <c r="CI9">
        <v>76557503.280912146</v>
      </c>
      <c r="CJ9">
        <v>77017925.710619897</v>
      </c>
      <c r="CK9">
        <v>77581585.762363389</v>
      </c>
    </row>
    <row r="10" spans="1:89" hidden="1" x14ac:dyDescent="0.25">
      <c r="B10" s="3">
        <f>Main!$M$8</f>
        <v>1970</v>
      </c>
      <c r="C10" s="3"/>
      <c r="D10" s="3"/>
      <c r="E10" s="3"/>
      <c r="F10" s="3"/>
      <c r="G10" s="3"/>
      <c r="H10" s="3"/>
      <c r="I10" s="3"/>
      <c r="J10" s="3"/>
      <c r="K10" s="3"/>
    </row>
    <row r="11" spans="1:89" hidden="1" x14ac:dyDescent="0.25">
      <c r="B11" s="3">
        <f t="shared" ref="B11:B42" si="0">B10+1</f>
        <v>1971</v>
      </c>
      <c r="C11" s="3"/>
      <c r="D11" s="3"/>
      <c r="E11" s="3"/>
      <c r="F11" s="3"/>
      <c r="G11" s="3"/>
      <c r="H11" s="3"/>
      <c r="I11" s="3"/>
      <c r="J11" s="3"/>
      <c r="K11" s="3"/>
    </row>
    <row r="12" spans="1:89" hidden="1" x14ac:dyDescent="0.25">
      <c r="B12" s="3">
        <f t="shared" si="0"/>
        <v>1972</v>
      </c>
      <c r="C12" s="3"/>
      <c r="D12" s="3"/>
      <c r="E12" s="3"/>
      <c r="F12" s="3"/>
      <c r="G12" s="3"/>
      <c r="H12" s="3"/>
      <c r="I12" s="3"/>
      <c r="J12" s="3"/>
      <c r="K12" s="3"/>
    </row>
    <row r="13" spans="1:89" hidden="1" x14ac:dyDescent="0.25">
      <c r="B13" s="3">
        <f t="shared" si="0"/>
        <v>1973</v>
      </c>
      <c r="C13" s="3"/>
      <c r="D13" s="3"/>
      <c r="E13" s="3"/>
      <c r="F13" s="3"/>
      <c r="G13" s="3"/>
      <c r="H13" s="3"/>
      <c r="I13" s="3"/>
      <c r="J13" s="3"/>
      <c r="K13" s="3"/>
    </row>
    <row r="14" spans="1:89" hidden="1" x14ac:dyDescent="0.25">
      <c r="B14" s="3">
        <f t="shared" si="0"/>
        <v>1974</v>
      </c>
      <c r="C14" s="3"/>
      <c r="D14" s="3"/>
      <c r="E14" s="3"/>
      <c r="F14" s="3"/>
      <c r="G14" s="3"/>
      <c r="H14" s="3"/>
      <c r="I14" s="3"/>
      <c r="J14" s="3"/>
      <c r="K14" s="3"/>
    </row>
    <row r="15" spans="1:89" hidden="1" x14ac:dyDescent="0.25">
      <c r="B15" s="3">
        <f t="shared" si="0"/>
        <v>1975</v>
      </c>
      <c r="C15" s="3"/>
      <c r="D15" s="3"/>
      <c r="E15" s="3"/>
      <c r="F15" s="3"/>
      <c r="G15" s="3"/>
      <c r="H15" s="3"/>
      <c r="I15" s="3"/>
      <c r="J15" s="3"/>
      <c r="K15" s="3"/>
    </row>
    <row r="16" spans="1:89" hidden="1" x14ac:dyDescent="0.25">
      <c r="B16" s="3">
        <f t="shared" si="0"/>
        <v>1976</v>
      </c>
      <c r="C16" s="3"/>
      <c r="D16" s="3"/>
      <c r="E16" s="3"/>
      <c r="F16" s="3"/>
      <c r="G16" s="3"/>
      <c r="H16" s="3"/>
      <c r="I16" s="3"/>
      <c r="J16" s="3"/>
      <c r="K16" s="3"/>
    </row>
    <row r="17" spans="2:11" hidden="1" x14ac:dyDescent="0.25">
      <c r="B17" s="3">
        <f t="shared" si="0"/>
        <v>1977</v>
      </c>
      <c r="C17" s="3"/>
      <c r="D17" s="3"/>
      <c r="E17" s="3"/>
      <c r="F17" s="3"/>
      <c r="G17" s="3"/>
      <c r="H17" s="3"/>
      <c r="I17" s="3"/>
      <c r="J17" s="3"/>
      <c r="K17" s="3"/>
    </row>
    <row r="18" spans="2:11" hidden="1" x14ac:dyDescent="0.25">
      <c r="B18" s="3">
        <f t="shared" si="0"/>
        <v>1978</v>
      </c>
      <c r="C18" s="3"/>
      <c r="D18" s="3"/>
      <c r="E18" s="3"/>
      <c r="F18" s="3"/>
      <c r="G18" s="3"/>
      <c r="H18" s="3"/>
      <c r="I18" s="3"/>
      <c r="J18" s="3"/>
      <c r="K18" s="3"/>
    </row>
    <row r="19" spans="2:11" hidden="1" x14ac:dyDescent="0.25">
      <c r="B19" s="3">
        <f t="shared" si="0"/>
        <v>1979</v>
      </c>
      <c r="C19" s="3"/>
      <c r="D19" s="3"/>
      <c r="E19" s="3"/>
      <c r="F19" s="3"/>
      <c r="G19" s="3"/>
      <c r="H19" s="3"/>
      <c r="I19" s="3"/>
      <c r="J19" s="3"/>
      <c r="K19" s="3"/>
    </row>
    <row r="20" spans="2:11" hidden="1" x14ac:dyDescent="0.25">
      <c r="B20" s="3">
        <f t="shared" si="0"/>
        <v>1980</v>
      </c>
      <c r="C20" s="3"/>
      <c r="D20" s="3"/>
      <c r="E20" s="3"/>
      <c r="F20" s="3"/>
      <c r="G20" s="3"/>
      <c r="H20" s="3"/>
      <c r="I20" s="3"/>
      <c r="J20" s="3"/>
      <c r="K20" s="3"/>
    </row>
    <row r="21" spans="2:11" hidden="1" x14ac:dyDescent="0.25">
      <c r="B21" s="3">
        <f t="shared" si="0"/>
        <v>1981</v>
      </c>
      <c r="C21" s="3"/>
      <c r="D21" s="3"/>
      <c r="E21" s="3"/>
      <c r="F21" s="3"/>
      <c r="G21" s="3"/>
      <c r="H21" s="3"/>
      <c r="I21" s="3"/>
      <c r="J21" s="3"/>
      <c r="K21" s="3"/>
    </row>
    <row r="22" spans="2:11" hidden="1" x14ac:dyDescent="0.25">
      <c r="B22" s="3">
        <f t="shared" si="0"/>
        <v>1982</v>
      </c>
      <c r="C22" s="3"/>
      <c r="D22" s="3"/>
      <c r="E22" s="3"/>
      <c r="F22" s="3"/>
      <c r="G22" s="3"/>
      <c r="H22" s="3"/>
      <c r="I22" s="3"/>
      <c r="J22" s="3"/>
      <c r="K22" s="3"/>
    </row>
    <row r="23" spans="2:11" hidden="1" x14ac:dyDescent="0.25">
      <c r="B23" s="3">
        <f t="shared" si="0"/>
        <v>1983</v>
      </c>
      <c r="C23" s="3"/>
      <c r="D23" s="3"/>
      <c r="E23" s="3"/>
      <c r="F23" s="3"/>
      <c r="G23" s="3"/>
      <c r="H23" s="3"/>
      <c r="I23" s="3"/>
      <c r="J23" s="3"/>
      <c r="K23" s="3"/>
    </row>
    <row r="24" spans="2:11" hidden="1" x14ac:dyDescent="0.25">
      <c r="B24" s="3">
        <f t="shared" si="0"/>
        <v>1984</v>
      </c>
      <c r="C24" s="3"/>
      <c r="D24" s="3"/>
      <c r="E24" s="3"/>
      <c r="F24" s="3"/>
      <c r="G24" s="3"/>
      <c r="H24" s="3"/>
      <c r="I24" s="3"/>
      <c r="J24" s="3"/>
      <c r="K24" s="3"/>
    </row>
    <row r="25" spans="2:11" hidden="1" x14ac:dyDescent="0.25">
      <c r="B25" s="3">
        <f t="shared" si="0"/>
        <v>1985</v>
      </c>
      <c r="C25" s="3"/>
      <c r="D25" s="3"/>
      <c r="E25" s="3"/>
      <c r="F25" s="3"/>
      <c r="G25" s="3"/>
      <c r="H25" s="3"/>
      <c r="I25" s="3"/>
      <c r="J25" s="3"/>
      <c r="K25" s="3"/>
    </row>
    <row r="26" spans="2:11" hidden="1" x14ac:dyDescent="0.25">
      <c r="B26" s="3">
        <f t="shared" si="0"/>
        <v>1986</v>
      </c>
      <c r="C26" s="3"/>
      <c r="D26" s="3"/>
      <c r="E26" s="3"/>
      <c r="F26" s="3"/>
      <c r="G26" s="3"/>
      <c r="H26" s="3"/>
      <c r="I26" s="3"/>
      <c r="J26" s="3"/>
      <c r="K26" s="3"/>
    </row>
    <row r="27" spans="2:11" hidden="1" x14ac:dyDescent="0.25">
      <c r="B27" s="3">
        <f t="shared" si="0"/>
        <v>1987</v>
      </c>
      <c r="C27" s="3"/>
      <c r="D27" s="3"/>
      <c r="E27" s="3"/>
      <c r="F27" s="3"/>
      <c r="G27" s="3"/>
      <c r="H27" s="3"/>
      <c r="I27" s="3"/>
      <c r="J27" s="3"/>
      <c r="K27" s="3"/>
    </row>
    <row r="28" spans="2:11" hidden="1" x14ac:dyDescent="0.25">
      <c r="B28" s="3">
        <f t="shared" si="0"/>
        <v>1988</v>
      </c>
      <c r="C28" s="3"/>
      <c r="D28" s="3"/>
      <c r="E28" s="3"/>
      <c r="F28" s="3"/>
      <c r="G28" s="3"/>
      <c r="H28" s="3"/>
      <c r="I28" s="3"/>
      <c r="J28" s="3"/>
      <c r="K28" s="3"/>
    </row>
    <row r="29" spans="2:11" hidden="1" x14ac:dyDescent="0.25">
      <c r="B29" s="3">
        <f t="shared" si="0"/>
        <v>1989</v>
      </c>
      <c r="C29" s="3"/>
      <c r="D29" s="3"/>
      <c r="E29" s="3"/>
      <c r="F29" s="3"/>
      <c r="G29" s="3"/>
      <c r="H29" s="3"/>
      <c r="I29" s="3"/>
      <c r="J29" s="3"/>
      <c r="K29" s="3"/>
    </row>
    <row r="30" spans="2:11" hidden="1" x14ac:dyDescent="0.25">
      <c r="B30" s="3">
        <f t="shared" si="0"/>
        <v>1990</v>
      </c>
      <c r="C30" s="3"/>
      <c r="D30" s="3"/>
      <c r="E30" s="3"/>
      <c r="F30" s="3"/>
      <c r="G30" s="3"/>
      <c r="H30" s="3"/>
      <c r="I30" s="3"/>
      <c r="J30" s="3"/>
      <c r="K30" s="3"/>
    </row>
    <row r="31" spans="2:11" hidden="1" x14ac:dyDescent="0.25">
      <c r="B31" s="3">
        <f t="shared" si="0"/>
        <v>1991</v>
      </c>
      <c r="C31" s="3"/>
      <c r="D31" s="3"/>
      <c r="E31" s="3"/>
      <c r="F31" s="3"/>
      <c r="G31" s="3"/>
      <c r="H31" s="3"/>
      <c r="I31" s="3"/>
      <c r="J31" s="3"/>
      <c r="K31" s="3"/>
    </row>
    <row r="32" spans="2:11" hidden="1" x14ac:dyDescent="0.25">
      <c r="B32" s="3">
        <f t="shared" si="0"/>
        <v>1992</v>
      </c>
      <c r="C32" s="3"/>
      <c r="D32" s="3"/>
      <c r="E32" s="3"/>
      <c r="F32" s="3"/>
      <c r="G32" s="3"/>
      <c r="H32" s="3"/>
      <c r="I32" s="3"/>
      <c r="J32" s="3"/>
      <c r="K32" s="3"/>
    </row>
    <row r="33" spans="2:11" hidden="1" x14ac:dyDescent="0.25">
      <c r="B33" s="3">
        <f t="shared" si="0"/>
        <v>1993</v>
      </c>
      <c r="C33" s="3"/>
      <c r="D33" s="3"/>
      <c r="E33" s="3"/>
      <c r="F33" s="3"/>
      <c r="G33" s="3"/>
      <c r="H33" s="3"/>
      <c r="I33" s="3"/>
      <c r="J33" s="3"/>
      <c r="K33" s="3"/>
    </row>
    <row r="34" spans="2:11" hidden="1" x14ac:dyDescent="0.25">
      <c r="B34" s="3">
        <f t="shared" si="0"/>
        <v>1994</v>
      </c>
      <c r="C34" s="3"/>
      <c r="D34" s="3"/>
      <c r="E34" s="3"/>
      <c r="F34" s="3"/>
      <c r="G34" s="3"/>
      <c r="H34" s="3"/>
      <c r="I34" s="3"/>
      <c r="J34" s="3"/>
      <c r="K34" s="3"/>
    </row>
    <row r="35" spans="2:11" hidden="1" x14ac:dyDescent="0.25">
      <c r="B35" s="3">
        <f t="shared" si="0"/>
        <v>1995</v>
      </c>
      <c r="C35" s="3"/>
      <c r="D35" s="3"/>
      <c r="E35" s="3"/>
      <c r="F35" s="3"/>
      <c r="G35" s="3"/>
      <c r="H35" s="3"/>
      <c r="I35" s="3"/>
      <c r="J35" s="3"/>
      <c r="K35" s="3"/>
    </row>
    <row r="36" spans="2:11" hidden="1" x14ac:dyDescent="0.25">
      <c r="B36" s="3">
        <f t="shared" si="0"/>
        <v>1996</v>
      </c>
      <c r="C36" s="3"/>
      <c r="D36" s="3"/>
      <c r="E36" s="3"/>
      <c r="F36" s="3"/>
      <c r="G36" s="3"/>
      <c r="H36" s="3"/>
      <c r="I36" s="3"/>
      <c r="J36" s="3"/>
      <c r="K36" s="3"/>
    </row>
    <row r="37" spans="2:11" hidden="1" x14ac:dyDescent="0.25">
      <c r="B37" s="3">
        <f t="shared" si="0"/>
        <v>1997</v>
      </c>
      <c r="C37" s="3"/>
      <c r="D37" s="3"/>
      <c r="E37" s="3"/>
      <c r="F37" s="3"/>
      <c r="G37" s="3"/>
      <c r="H37" s="3"/>
      <c r="I37" s="3"/>
      <c r="J37" s="3"/>
      <c r="K37" s="3"/>
    </row>
    <row r="38" spans="2:11" hidden="1" x14ac:dyDescent="0.25">
      <c r="B38" s="3">
        <f t="shared" si="0"/>
        <v>1998</v>
      </c>
      <c r="C38" s="3"/>
      <c r="D38" s="3"/>
      <c r="E38" s="3"/>
      <c r="F38" s="3"/>
      <c r="G38" s="3"/>
      <c r="H38" s="3"/>
      <c r="I38" s="3"/>
      <c r="J38" s="3"/>
      <c r="K38" s="3"/>
    </row>
    <row r="39" spans="2:11" hidden="1" x14ac:dyDescent="0.25">
      <c r="B39" s="3">
        <f t="shared" si="0"/>
        <v>1999</v>
      </c>
      <c r="C39" s="3"/>
      <c r="D39" s="3"/>
      <c r="E39" s="3"/>
      <c r="F39" s="3"/>
      <c r="G39" s="3"/>
      <c r="H39" s="3"/>
      <c r="I39" s="3"/>
      <c r="J39" s="3"/>
      <c r="K39" s="3"/>
    </row>
    <row r="40" spans="2:11" hidden="1" x14ac:dyDescent="0.25">
      <c r="B40" s="3">
        <f t="shared" si="0"/>
        <v>2000</v>
      </c>
      <c r="C40" s="3"/>
      <c r="D40" s="3"/>
      <c r="E40" s="3"/>
      <c r="F40" s="3"/>
      <c r="G40" s="3"/>
      <c r="H40" s="3"/>
      <c r="I40" s="3"/>
      <c r="J40" s="3"/>
      <c r="K40" s="3"/>
    </row>
    <row r="41" spans="2:11" hidden="1" x14ac:dyDescent="0.25">
      <c r="B41" s="3">
        <f t="shared" si="0"/>
        <v>2001</v>
      </c>
      <c r="C41" s="3"/>
      <c r="D41" s="3"/>
      <c r="E41" s="3"/>
      <c r="F41" s="3"/>
      <c r="G41" s="3"/>
      <c r="H41" s="3"/>
      <c r="I41" s="3"/>
      <c r="J41" s="3"/>
      <c r="K41" s="3"/>
    </row>
    <row r="42" spans="2:11" hidden="1" x14ac:dyDescent="0.25">
      <c r="B42" s="3">
        <f t="shared" si="0"/>
        <v>2002</v>
      </c>
      <c r="C42" s="3"/>
      <c r="D42" s="3"/>
      <c r="E42" s="3"/>
      <c r="F42" s="3"/>
      <c r="G42" s="3"/>
      <c r="H42" s="3"/>
      <c r="I42" s="3"/>
      <c r="J42" s="3"/>
      <c r="K42" s="3"/>
    </row>
    <row r="43" spans="2:11" hidden="1" x14ac:dyDescent="0.25">
      <c r="B43" s="3">
        <f t="shared" ref="B43:B74" si="1">B42+1</f>
        <v>2003</v>
      </c>
      <c r="C43" s="3"/>
      <c r="D43" s="3"/>
      <c r="E43" s="3"/>
      <c r="F43" s="3"/>
      <c r="G43" s="3"/>
      <c r="H43" s="3"/>
      <c r="I43" s="3"/>
      <c r="J43" s="3"/>
      <c r="K43" s="3"/>
    </row>
    <row r="44" spans="2:11" hidden="1" x14ac:dyDescent="0.25">
      <c r="B44" s="3">
        <f t="shared" si="1"/>
        <v>2004</v>
      </c>
      <c r="C44" s="3"/>
      <c r="D44" s="3"/>
      <c r="E44" s="3"/>
      <c r="F44" s="3"/>
      <c r="G44" s="3"/>
      <c r="H44" s="3"/>
      <c r="I44" s="3"/>
      <c r="J44" s="3"/>
      <c r="K44" s="3"/>
    </row>
    <row r="45" spans="2:11" hidden="1" x14ac:dyDescent="0.25">
      <c r="B45" s="3">
        <f t="shared" si="1"/>
        <v>2005</v>
      </c>
      <c r="C45" s="3"/>
      <c r="D45" s="3"/>
      <c r="E45" s="3"/>
      <c r="F45" s="3"/>
      <c r="G45" s="3"/>
      <c r="H45" s="3"/>
      <c r="I45" s="3"/>
      <c r="J45" s="3"/>
      <c r="K45" s="3"/>
    </row>
    <row r="46" spans="2:11" hidden="1" x14ac:dyDescent="0.25">
      <c r="B46" s="3">
        <f t="shared" si="1"/>
        <v>2006</v>
      </c>
      <c r="C46" s="3"/>
      <c r="D46" s="3"/>
      <c r="E46" s="3"/>
      <c r="F46" s="3"/>
      <c r="G46" s="3"/>
      <c r="H46" s="3"/>
      <c r="I46" s="3"/>
      <c r="J46" s="3"/>
      <c r="K46" s="3"/>
    </row>
    <row r="47" spans="2:11" hidden="1" x14ac:dyDescent="0.25">
      <c r="B47" s="3">
        <f t="shared" si="1"/>
        <v>2007</v>
      </c>
      <c r="C47" s="3"/>
      <c r="D47" s="3"/>
      <c r="E47" s="3"/>
      <c r="F47" s="3"/>
      <c r="G47" s="3"/>
      <c r="H47" s="3"/>
      <c r="I47" s="3"/>
      <c r="J47" s="3"/>
      <c r="K47" s="3"/>
    </row>
    <row r="48" spans="2:11" hidden="1" x14ac:dyDescent="0.25">
      <c r="B48" s="3">
        <f t="shared" si="1"/>
        <v>2008</v>
      </c>
      <c r="C48" s="3"/>
      <c r="D48" s="3"/>
      <c r="E48" s="3"/>
      <c r="F48" s="3"/>
      <c r="G48" s="3"/>
      <c r="H48" s="3"/>
      <c r="I48" s="3"/>
      <c r="J48" s="3"/>
      <c r="K48" s="3"/>
    </row>
    <row r="49" spans="2:11" hidden="1" x14ac:dyDescent="0.25">
      <c r="B49" s="3">
        <f t="shared" si="1"/>
        <v>2009</v>
      </c>
      <c r="C49" s="3"/>
      <c r="D49" s="3"/>
      <c r="E49" s="3"/>
      <c r="F49" s="3"/>
      <c r="G49" s="3"/>
      <c r="H49" s="3"/>
      <c r="I49" s="3"/>
      <c r="J49" s="3"/>
      <c r="K49" s="3"/>
    </row>
    <row r="50" spans="2:11" hidden="1" x14ac:dyDescent="0.25">
      <c r="B50" s="3">
        <f t="shared" si="1"/>
        <v>2010</v>
      </c>
      <c r="C50" s="3"/>
      <c r="D50" s="3"/>
      <c r="E50" s="3"/>
      <c r="F50" s="3"/>
      <c r="G50" s="3"/>
      <c r="H50" s="3"/>
      <c r="I50" s="3"/>
      <c r="J50" s="3"/>
      <c r="K50" s="3"/>
    </row>
    <row r="51" spans="2:11" hidden="1" x14ac:dyDescent="0.25">
      <c r="B51" s="3">
        <f t="shared" si="1"/>
        <v>2011</v>
      </c>
      <c r="C51" s="3"/>
      <c r="D51" s="3"/>
      <c r="E51" s="3"/>
      <c r="F51" s="3"/>
      <c r="G51" s="3"/>
      <c r="H51" s="3"/>
      <c r="I51" s="3"/>
      <c r="J51" s="3"/>
      <c r="K51" s="3"/>
    </row>
    <row r="52" spans="2:11" hidden="1" x14ac:dyDescent="0.25">
      <c r="B52" s="3">
        <f t="shared" si="1"/>
        <v>2012</v>
      </c>
      <c r="C52" s="3"/>
      <c r="D52" s="3"/>
      <c r="E52" s="3"/>
      <c r="F52" s="3"/>
      <c r="G52" s="3"/>
      <c r="H52" s="3"/>
      <c r="I52" s="3"/>
      <c r="J52" s="3"/>
      <c r="K52" s="3"/>
    </row>
    <row r="53" spans="2:11" hidden="1" x14ac:dyDescent="0.25">
      <c r="B53" s="3">
        <f t="shared" si="1"/>
        <v>2013</v>
      </c>
      <c r="C53" s="3"/>
      <c r="D53" s="3"/>
      <c r="E53" s="3"/>
      <c r="F53" s="3"/>
      <c r="G53" s="3"/>
      <c r="H53" s="3"/>
      <c r="I53" s="3"/>
      <c r="J53" s="3"/>
      <c r="K53" s="3"/>
    </row>
    <row r="54" spans="2:11" hidden="1" x14ac:dyDescent="0.25">
      <c r="B54" s="3">
        <f t="shared" si="1"/>
        <v>2014</v>
      </c>
      <c r="C54" s="3"/>
      <c r="D54" s="3"/>
      <c r="E54" s="3"/>
      <c r="F54" s="3"/>
      <c r="G54" s="3"/>
      <c r="H54" s="3"/>
      <c r="I54" s="3"/>
      <c r="J54" s="3"/>
      <c r="K54" s="3"/>
    </row>
    <row r="55" spans="2:11" hidden="1" x14ac:dyDescent="0.25">
      <c r="B55" s="3">
        <f t="shared" si="1"/>
        <v>2015</v>
      </c>
      <c r="C55" s="3"/>
      <c r="D55" s="3"/>
      <c r="E55" s="3"/>
      <c r="F55" s="3"/>
      <c r="G55" s="3"/>
      <c r="H55" s="3"/>
      <c r="I55" s="3"/>
      <c r="J55" s="3"/>
      <c r="K55" s="3"/>
    </row>
    <row r="56" spans="2:11" hidden="1" x14ac:dyDescent="0.25">
      <c r="B56" s="3">
        <f t="shared" si="1"/>
        <v>2016</v>
      </c>
      <c r="C56" s="3"/>
      <c r="D56" s="3"/>
      <c r="E56" s="3"/>
      <c r="F56" s="3"/>
      <c r="G56" s="3"/>
      <c r="H56" s="3"/>
      <c r="I56" s="3"/>
      <c r="J56" s="3"/>
      <c r="K56" s="3"/>
    </row>
    <row r="57" spans="2:11" hidden="1" x14ac:dyDescent="0.25">
      <c r="B57" s="3">
        <f t="shared" si="1"/>
        <v>2017</v>
      </c>
      <c r="C57" s="3"/>
      <c r="D57" s="3"/>
      <c r="E57" s="3"/>
      <c r="F57" s="3"/>
      <c r="G57" s="3"/>
      <c r="H57" s="3"/>
      <c r="I57" s="3"/>
      <c r="J57" s="3"/>
      <c r="K57" s="3"/>
    </row>
    <row r="58" spans="2:11" hidden="1" x14ac:dyDescent="0.25">
      <c r="B58" s="3">
        <f t="shared" si="1"/>
        <v>2018</v>
      </c>
      <c r="C58" s="3"/>
      <c r="D58" s="3"/>
      <c r="E58" s="3"/>
      <c r="F58" s="3"/>
      <c r="G58" s="3"/>
      <c r="H58" s="3"/>
      <c r="I58" s="3"/>
      <c r="J58" s="3"/>
      <c r="K58" s="3"/>
    </row>
    <row r="59" spans="2:11" x14ac:dyDescent="0.25">
      <c r="B59" s="82">
        <f t="shared" si="1"/>
        <v>2019</v>
      </c>
      <c r="C59" s="7">
        <v>53252672.727272727</v>
      </c>
      <c r="D59" s="7">
        <v>53252672.727272727</v>
      </c>
      <c r="E59" s="7">
        <v>53252672.727272727</v>
      </c>
      <c r="F59" s="7">
        <v>53252672.727272727</v>
      </c>
      <c r="G59" s="7">
        <v>53252672.727272727</v>
      </c>
      <c r="H59" s="7">
        <v>53252672.727272727</v>
      </c>
      <c r="I59" s="7">
        <v>53252672.727272727</v>
      </c>
      <c r="J59" s="7">
        <v>53252672.727272727</v>
      </c>
      <c r="K59" s="7">
        <v>53252672.727272727</v>
      </c>
    </row>
    <row r="60" spans="2:11" x14ac:dyDescent="0.25">
      <c r="B60" s="3">
        <f t="shared" si="1"/>
        <v>2020</v>
      </c>
      <c r="C60" s="7">
        <v>56364627.319692664</v>
      </c>
      <c r="D60" s="7">
        <v>55753580.163662687</v>
      </c>
      <c r="E60" s="7">
        <v>56975674.475722641</v>
      </c>
      <c r="F60" s="7">
        <v>56364627.319692664</v>
      </c>
      <c r="G60" s="7">
        <v>56364627.319692664</v>
      </c>
      <c r="H60" s="7">
        <v>56975674.475722641</v>
      </c>
      <c r="I60" s="7">
        <v>56364627.319692664</v>
      </c>
      <c r="J60" s="7">
        <v>56975674.475722641</v>
      </c>
      <c r="K60" s="7">
        <v>56975674.475722641</v>
      </c>
    </row>
    <row r="61" spans="2:11" x14ac:dyDescent="0.25">
      <c r="B61" s="3">
        <f t="shared" si="1"/>
        <v>2021</v>
      </c>
      <c r="C61" s="7">
        <v>57015534.854947031</v>
      </c>
      <c r="D61" s="7">
        <v>54699359.954347245</v>
      </c>
      <c r="E61" s="7">
        <v>59347844.195806593</v>
      </c>
      <c r="F61" s="7">
        <v>57053564.415570579</v>
      </c>
      <c r="G61" s="7">
        <v>58679664.126800723</v>
      </c>
      <c r="H61" s="7">
        <v>57645685.363329351</v>
      </c>
      <c r="I61" s="7">
        <v>58717693.687424272</v>
      </c>
      <c r="J61" s="7">
        <v>59309814.635183044</v>
      </c>
      <c r="K61" s="7">
        <v>57683714.923952907</v>
      </c>
    </row>
    <row r="62" spans="2:11" x14ac:dyDescent="0.25">
      <c r="B62" s="3">
        <f t="shared" si="1"/>
        <v>2022</v>
      </c>
      <c r="C62" s="7">
        <v>57681680.716688439</v>
      </c>
      <c r="D62" s="7">
        <v>54733079.582432553</v>
      </c>
      <c r="E62" s="7">
        <v>60648767.425626062</v>
      </c>
      <c r="F62" s="7">
        <v>57759960.033059545</v>
      </c>
      <c r="G62" s="7">
        <v>59921651.260930799</v>
      </c>
      <c r="H62" s="7">
        <v>58330517.565012619</v>
      </c>
      <c r="I62" s="7">
        <v>59999930.57730189</v>
      </c>
      <c r="J62" s="7">
        <v>60570488.109254971</v>
      </c>
      <c r="K62" s="7">
        <v>58408796.881383717</v>
      </c>
    </row>
    <row r="63" spans="2:11" x14ac:dyDescent="0.25">
      <c r="B63" s="3">
        <f t="shared" si="1"/>
        <v>2023</v>
      </c>
      <c r="C63" s="7">
        <v>58760718.469703324</v>
      </c>
      <c r="D63" s="7">
        <v>55287127.259543084</v>
      </c>
      <c r="E63" s="7">
        <v>62245357.534177028</v>
      </c>
      <c r="F63" s="7">
        <v>58881810.197473608</v>
      </c>
      <c r="G63" s="7">
        <v>61457124.028944246</v>
      </c>
      <c r="H63" s="7">
        <v>59427860.247165829</v>
      </c>
      <c r="I63" s="7">
        <v>61578215.756714523</v>
      </c>
      <c r="J63" s="7">
        <v>62124265.806406751</v>
      </c>
      <c r="K63" s="7">
        <v>59548951.974936113</v>
      </c>
    </row>
    <row r="64" spans="2:11" x14ac:dyDescent="0.25">
      <c r="B64" s="3">
        <f t="shared" si="1"/>
        <v>2024</v>
      </c>
      <c r="C64" s="7">
        <v>59519650.604811661</v>
      </c>
      <c r="D64" s="7">
        <v>55580971.513335615</v>
      </c>
      <c r="E64" s="7">
        <v>63461003.220377512</v>
      </c>
      <c r="F64" s="7">
        <v>59689041.653107807</v>
      </c>
      <c r="G64" s="7">
        <v>62606515.758100457</v>
      </c>
      <c r="H64" s="7">
        <v>60204747.01879257</v>
      </c>
      <c r="I64" s="7">
        <v>62775906.806396604</v>
      </c>
      <c r="J64" s="7">
        <v>63291612.172081366</v>
      </c>
      <c r="K64" s="7">
        <v>60374138.067088716</v>
      </c>
    </row>
    <row r="65" spans="2:11" x14ac:dyDescent="0.25">
      <c r="B65" s="3">
        <f t="shared" si="1"/>
        <v>2025</v>
      </c>
      <c r="C65" s="7">
        <v>60736130.088382527</v>
      </c>
      <c r="D65" s="7">
        <v>56374081.692526825</v>
      </c>
      <c r="E65" s="7">
        <v>65098196.562837064</v>
      </c>
      <c r="F65" s="7">
        <v>60961538.578065492</v>
      </c>
      <c r="G65" s="7">
        <v>64170059.933585525</v>
      </c>
      <c r="H65" s="7">
        <v>61438858.227951109</v>
      </c>
      <c r="I65" s="7">
        <v>64395468.423268482</v>
      </c>
      <c r="J65" s="7">
        <v>64872788.073154099</v>
      </c>
      <c r="K65" s="7">
        <v>61664266.717634074</v>
      </c>
    </row>
    <row r="66" spans="2:11" x14ac:dyDescent="0.25">
      <c r="B66" s="3">
        <f t="shared" si="1"/>
        <v>2026</v>
      </c>
      <c r="C66" s="7">
        <v>61508533.05880633</v>
      </c>
      <c r="D66" s="7">
        <v>56752786.129959352</v>
      </c>
      <c r="E66" s="7">
        <v>66265566.925098605</v>
      </c>
      <c r="F66" s="7">
        <v>61795836.199001931</v>
      </c>
      <c r="G66" s="7">
        <v>65258202.590927698</v>
      </c>
      <c r="H66" s="7">
        <v>62228594.25278163</v>
      </c>
      <c r="I66" s="7">
        <v>65545505.731123298</v>
      </c>
      <c r="J66" s="7">
        <v>65978263.784903005</v>
      </c>
      <c r="K66" s="7">
        <v>62515897.39297723</v>
      </c>
    </row>
    <row r="67" spans="2:11" x14ac:dyDescent="0.25">
      <c r="B67" s="3">
        <f t="shared" si="1"/>
        <v>2027</v>
      </c>
      <c r="C67" s="7">
        <v>62240523.168080114</v>
      </c>
      <c r="D67" s="7">
        <v>57111429.778878495</v>
      </c>
      <c r="E67" s="7">
        <v>67371096.326087981</v>
      </c>
      <c r="F67" s="7">
        <v>62592545.730317466</v>
      </c>
      <c r="G67" s="7">
        <v>66281956.610346787</v>
      </c>
      <c r="H67" s="7">
        <v>62977640.321583949</v>
      </c>
      <c r="I67" s="7">
        <v>66633979.172584146</v>
      </c>
      <c r="J67" s="7">
        <v>67019073.763850622</v>
      </c>
      <c r="K67" s="7">
        <v>63329662.883821301</v>
      </c>
    </row>
    <row r="68" spans="2:11" x14ac:dyDescent="0.25">
      <c r="B68" s="3">
        <f t="shared" si="1"/>
        <v>2028</v>
      </c>
      <c r="C68" s="7">
        <v>63155447.683393992</v>
      </c>
      <c r="D68" s="7">
        <v>57669074.088399149</v>
      </c>
      <c r="E68" s="7">
        <v>68642763.327192202</v>
      </c>
      <c r="F68" s="7">
        <v>63574758.563928291</v>
      </c>
      <c r="G68" s="7">
        <v>67469537.126704708</v>
      </c>
      <c r="H68" s="7">
        <v>63909363.003347203</v>
      </c>
      <c r="I68" s="7">
        <v>67888848.007238999</v>
      </c>
      <c r="J68" s="7">
        <v>68223452.446657911</v>
      </c>
      <c r="K68" s="7">
        <v>64328673.883881502</v>
      </c>
    </row>
    <row r="69" spans="2:11" x14ac:dyDescent="0.25">
      <c r="B69" s="3">
        <f t="shared" si="1"/>
        <v>2029</v>
      </c>
      <c r="C69" s="7">
        <v>63926657.750145264</v>
      </c>
      <c r="D69" s="7">
        <v>58096122.84076643</v>
      </c>
      <c r="E69" s="7">
        <v>69757548.422659025</v>
      </c>
      <c r="F69" s="7">
        <v>64416016.697247632</v>
      </c>
      <c r="G69" s="7">
        <v>68497716.435899809</v>
      </c>
      <c r="H69" s="7">
        <v>64697130.789802119</v>
      </c>
      <c r="I69" s="7">
        <v>68987075.383002162</v>
      </c>
      <c r="J69" s="7">
        <v>69268189.475556672</v>
      </c>
      <c r="K69" s="7">
        <v>65186489.736904487</v>
      </c>
    </row>
    <row r="70" spans="2:11" x14ac:dyDescent="0.25">
      <c r="B70" s="113">
        <f t="shared" si="1"/>
        <v>2030</v>
      </c>
      <c r="C70" s="7">
        <v>64368673.327206202</v>
      </c>
      <c r="D70" s="7">
        <v>58204876.915090777</v>
      </c>
      <c r="E70" s="7">
        <v>70532483.237074926</v>
      </c>
      <c r="F70" s="7">
        <v>64930823.257582277</v>
      </c>
      <c r="G70" s="7">
        <v>69183527.339334249</v>
      </c>
      <c r="H70" s="7">
        <v>65155479.294570841</v>
      </c>
      <c r="I70" s="7">
        <v>69745677.269710302</v>
      </c>
      <c r="J70" s="7">
        <v>69970333.306698874</v>
      </c>
      <c r="K70" s="7">
        <v>65717629.224946916</v>
      </c>
    </row>
    <row r="71" spans="2:11" x14ac:dyDescent="0.25">
      <c r="B71" s="3">
        <f t="shared" si="1"/>
        <v>2031</v>
      </c>
      <c r="C71" s="7">
        <v>64862080.298328914</v>
      </c>
      <c r="D71" s="7">
        <v>58374387.387010232</v>
      </c>
      <c r="E71" s="7">
        <v>71349737.248276532</v>
      </c>
      <c r="F71" s="7">
        <v>65499423.677417085</v>
      </c>
      <c r="G71" s="7">
        <v>69909465.583010197</v>
      </c>
      <c r="H71" s="7">
        <v>65665008.58450707</v>
      </c>
      <c r="I71" s="7">
        <v>70546808.96209836</v>
      </c>
      <c r="J71" s="7">
        <v>70712393.869188368</v>
      </c>
      <c r="K71" s="7">
        <v>66302351.963595249</v>
      </c>
    </row>
    <row r="72" spans="2:11" x14ac:dyDescent="0.25">
      <c r="B72" s="3">
        <f t="shared" si="1"/>
        <v>2032</v>
      </c>
      <c r="C72" s="7">
        <v>65473006.924570091</v>
      </c>
      <c r="D72" s="7">
        <v>58669876.826000974</v>
      </c>
      <c r="E72" s="7">
        <v>72276114.567680895</v>
      </c>
      <c r="F72" s="7">
        <v>66187117.445147872</v>
      </c>
      <c r="G72" s="7">
        <v>70743151.154949382</v>
      </c>
      <c r="H72" s="7">
        <v>66291859.816723816</v>
      </c>
      <c r="I72" s="7">
        <v>71457261.675527185</v>
      </c>
      <c r="J72" s="7">
        <v>71562004.047103122</v>
      </c>
      <c r="K72" s="7">
        <v>67005970.337301597</v>
      </c>
    </row>
    <row r="73" spans="2:11" x14ac:dyDescent="0.25">
      <c r="B73" s="3">
        <f t="shared" si="1"/>
        <v>2033</v>
      </c>
      <c r="C73" s="7">
        <v>66180066.668860324</v>
      </c>
      <c r="D73" s="7">
        <v>59069841.377596915</v>
      </c>
      <c r="E73" s="7">
        <v>73290318.882195368</v>
      </c>
      <c r="F73" s="7">
        <v>66971405.068635479</v>
      </c>
      <c r="G73" s="7">
        <v>71664388.932158381</v>
      </c>
      <c r="H73" s="7">
        <v>67014658.219122127</v>
      </c>
      <c r="I73" s="7">
        <v>72455727.331933543</v>
      </c>
      <c r="J73" s="7">
        <v>72498980.482420206</v>
      </c>
      <c r="K73" s="7">
        <v>67805996.618897289</v>
      </c>
    </row>
    <row r="74" spans="2:11" x14ac:dyDescent="0.25">
      <c r="B74" s="3">
        <f t="shared" si="1"/>
        <v>2034</v>
      </c>
      <c r="C74" s="7">
        <v>66925332.691578083</v>
      </c>
      <c r="D74" s="7">
        <v>59516707.005104721</v>
      </c>
      <c r="E74" s="7">
        <v>74333962.860983655</v>
      </c>
      <c r="F74" s="7">
        <v>67792919.046968296</v>
      </c>
      <c r="G74" s="7">
        <v>72616221.478647247</v>
      </c>
      <c r="H74" s="7">
        <v>67775487.718524307</v>
      </c>
      <c r="I74" s="7">
        <v>73483807.834037453</v>
      </c>
      <c r="J74" s="7">
        <v>73466376.505593464</v>
      </c>
      <c r="K74" s="7">
        <v>68643074.073914513</v>
      </c>
    </row>
    <row r="75" spans="2:11" x14ac:dyDescent="0.25">
      <c r="B75" s="3">
        <f t="shared" ref="B75:B90" si="2">B74+1</f>
        <v>2035</v>
      </c>
      <c r="C75" s="7">
        <v>67631878.404037803</v>
      </c>
      <c r="D75" s="7">
        <v>59933607.261782765</v>
      </c>
      <c r="E75" s="7">
        <v>75330185.377112821</v>
      </c>
      <c r="F75" s="7">
        <v>68573987.111816525</v>
      </c>
      <c r="G75" s="7">
        <v>73522523.465905011</v>
      </c>
      <c r="H75" s="7">
        <v>68497431.607466862</v>
      </c>
      <c r="I75" s="7">
        <v>74464632.173683763</v>
      </c>
      <c r="J75" s="7">
        <v>74388076.669334069</v>
      </c>
      <c r="K75" s="7">
        <v>69439540.315245599</v>
      </c>
    </row>
    <row r="76" spans="2:11" x14ac:dyDescent="0.25">
      <c r="B76" s="3">
        <f t="shared" si="2"/>
        <v>2036</v>
      </c>
      <c r="C76" s="7">
        <v>68043874.76882726</v>
      </c>
      <c r="D76" s="7">
        <v>60064592.091701485</v>
      </c>
      <c r="E76" s="7">
        <v>76023211.14322637</v>
      </c>
      <c r="F76" s="7">
        <v>69058153.615469396</v>
      </c>
      <c r="G76" s="7">
        <v>74128137.123516813</v>
      </c>
      <c r="H76" s="7">
        <v>68924669.941894665</v>
      </c>
      <c r="I76" s="7">
        <v>75142415.970158964</v>
      </c>
      <c r="J76" s="7">
        <v>75008932.296584234</v>
      </c>
      <c r="K76" s="7">
        <v>69938948.788536817</v>
      </c>
    </row>
    <row r="77" spans="2:11" x14ac:dyDescent="0.25">
      <c r="B77" s="3">
        <f t="shared" si="2"/>
        <v>2037</v>
      </c>
      <c r="C77" s="7">
        <v>68658023.043564275</v>
      </c>
      <c r="D77" s="7">
        <v>60365575.141581282</v>
      </c>
      <c r="E77" s="7">
        <v>76950564.83010152</v>
      </c>
      <c r="F77" s="7">
        <v>69742313.643038049</v>
      </c>
      <c r="G77" s="7">
        <v>74930332.681394532</v>
      </c>
      <c r="H77" s="7">
        <v>69593964.592797518</v>
      </c>
      <c r="I77" s="7">
        <v>76014623.280868277</v>
      </c>
      <c r="J77" s="7">
        <v>75866274.230627745</v>
      </c>
      <c r="K77" s="7">
        <v>70678255.192271262</v>
      </c>
    </row>
    <row r="78" spans="2:11" x14ac:dyDescent="0.25">
      <c r="B78" s="3">
        <f t="shared" si="2"/>
        <v>2038</v>
      </c>
      <c r="C78" s="7">
        <v>69270880.703208238</v>
      </c>
      <c r="D78" s="7">
        <v>60712994.966521591</v>
      </c>
      <c r="E78" s="7">
        <v>77829101.43589519</v>
      </c>
      <c r="F78" s="7">
        <v>70423561.740809143</v>
      </c>
      <c r="G78" s="7">
        <v>75726154.838357687</v>
      </c>
      <c r="H78" s="7">
        <v>70221146.263144851</v>
      </c>
      <c r="I78" s="7">
        <v>76878835.875958577</v>
      </c>
      <c r="J78" s="7">
        <v>76676420.398294315</v>
      </c>
      <c r="K78" s="7">
        <v>71373827.300745741</v>
      </c>
    </row>
    <row r="79" spans="2:11" x14ac:dyDescent="0.25">
      <c r="B79" s="3">
        <f t="shared" si="2"/>
        <v>2039</v>
      </c>
      <c r="C79" s="7">
        <v>69763673.112734213</v>
      </c>
      <c r="D79" s="7">
        <v>60946071.587290905</v>
      </c>
      <c r="E79" s="7">
        <v>78581814.604745194</v>
      </c>
      <c r="F79" s="7">
        <v>70983756.578877717</v>
      </c>
      <c r="G79" s="7">
        <v>76397249.963926882</v>
      </c>
      <c r="H79" s="7">
        <v>70728154.287409037</v>
      </c>
      <c r="I79" s="7">
        <v>77617333.430070385</v>
      </c>
      <c r="J79" s="7">
        <v>77361731.138601691</v>
      </c>
      <c r="K79" s="7">
        <v>71948237.753552526</v>
      </c>
    </row>
    <row r="80" spans="2:11" x14ac:dyDescent="0.25">
      <c r="B80" s="3">
        <f t="shared" si="2"/>
        <v>2040</v>
      </c>
      <c r="C80" s="7">
        <v>70659561.426779881</v>
      </c>
      <c r="D80" s="7">
        <v>61587039.222927123</v>
      </c>
      <c r="E80" s="7">
        <v>79732854.943156779</v>
      </c>
      <c r="F80" s="7">
        <v>71946676.94067739</v>
      </c>
      <c r="G80" s="7">
        <v>77467145.930384651</v>
      </c>
      <c r="H80" s="7">
        <v>71638154.925654516</v>
      </c>
      <c r="I80" s="7">
        <v>78754261.444282159</v>
      </c>
      <c r="J80" s="7">
        <v>78445739.429259285</v>
      </c>
      <c r="K80" s="7">
        <v>72925270.439552009</v>
      </c>
    </row>
    <row r="81" spans="2:11" x14ac:dyDescent="0.25">
      <c r="B81" s="3">
        <f t="shared" si="2"/>
        <v>2041</v>
      </c>
      <c r="C81" s="7">
        <v>71231443.117929831</v>
      </c>
      <c r="D81" s="7">
        <v>61908401.267249808</v>
      </c>
      <c r="E81" s="7">
        <v>80555683.195263267</v>
      </c>
      <c r="F81" s="7">
        <v>72585457.053777903</v>
      </c>
      <c r="G81" s="7">
        <v>78209061.945130393</v>
      </c>
      <c r="H81" s="7">
        <v>72224050.432214633</v>
      </c>
      <c r="I81" s="7">
        <v>79563075.880978465</v>
      </c>
      <c r="J81" s="7">
        <v>79201669.259415209</v>
      </c>
      <c r="K81" s="7">
        <v>73578064.36806272</v>
      </c>
    </row>
    <row r="82" spans="2:11" x14ac:dyDescent="0.25">
      <c r="B82" s="3">
        <f t="shared" si="2"/>
        <v>2042</v>
      </c>
      <c r="C82" s="7">
        <v>72261591.969112366</v>
      </c>
      <c r="D82" s="7">
        <v>62692102.299681976</v>
      </c>
      <c r="E82" s="7">
        <v>81832910.70956406</v>
      </c>
      <c r="F82" s="7">
        <v>73682419.678824961</v>
      </c>
      <c r="G82" s="7">
        <v>79405555.89338322</v>
      </c>
      <c r="H82" s="7">
        <v>73268119.075580612</v>
      </c>
      <c r="I82" s="7">
        <v>80826383.6030958</v>
      </c>
      <c r="J82" s="7">
        <v>80412082.999851465</v>
      </c>
      <c r="K82" s="7">
        <v>74688946.785293207</v>
      </c>
    </row>
    <row r="83" spans="2:11" x14ac:dyDescent="0.25">
      <c r="B83" s="3">
        <f t="shared" si="2"/>
        <v>2043</v>
      </c>
      <c r="C83" s="7">
        <v>72848843.195998386</v>
      </c>
      <c r="D83" s="7">
        <v>63036480.428118758</v>
      </c>
      <c r="E83" s="7">
        <v>82664198.266394839</v>
      </c>
      <c r="F83" s="7">
        <v>74336969.036823094</v>
      </c>
      <c r="G83" s="7">
        <v>80155715.336190179</v>
      </c>
      <c r="H83" s="7">
        <v>73869200.285378337</v>
      </c>
      <c r="I83" s="7">
        <v>81643841.177014887</v>
      </c>
      <c r="J83" s="7">
        <v>81176072.42557013</v>
      </c>
      <c r="K83" s="7">
        <v>75357326.126203045</v>
      </c>
    </row>
    <row r="84" spans="2:11" x14ac:dyDescent="0.25">
      <c r="B84" s="3">
        <f t="shared" si="2"/>
        <v>2044</v>
      </c>
      <c r="C84" s="7">
        <v>73395974.866462797</v>
      </c>
      <c r="D84" s="7">
        <v>63343662.62576554</v>
      </c>
      <c r="E84" s="7">
        <v>83452862.506225288</v>
      </c>
      <c r="F84" s="7">
        <v>74952192.468333125</v>
      </c>
      <c r="G84" s="7">
        <v>80862543.676956654</v>
      </c>
      <c r="H84" s="7">
        <v>74430076.093861088</v>
      </c>
      <c r="I84" s="7">
        <v>82418761.278826997</v>
      </c>
      <c r="J84" s="7">
        <v>81896644.90435496</v>
      </c>
      <c r="K84" s="7">
        <v>75986293.695731416</v>
      </c>
    </row>
    <row r="85" spans="2:11" x14ac:dyDescent="0.25">
      <c r="B85" s="3">
        <f t="shared" si="2"/>
        <v>2045</v>
      </c>
      <c r="C85" s="7">
        <v>74127788.038883671</v>
      </c>
      <c r="D85" s="7">
        <v>63837916.972824693</v>
      </c>
      <c r="E85" s="7">
        <v>84424515.900372371</v>
      </c>
      <c r="F85" s="7">
        <v>75753496.511802047</v>
      </c>
      <c r="G85" s="7">
        <v>81751044.172329649</v>
      </c>
      <c r="H85" s="7">
        <v>75175551.294008046</v>
      </c>
      <c r="I85" s="7">
        <v>83376752.645248026</v>
      </c>
      <c r="J85" s="7">
        <v>82798807.427454025</v>
      </c>
      <c r="K85" s="7">
        <v>76801259.766926423</v>
      </c>
    </row>
    <row r="86" spans="2:11" x14ac:dyDescent="0.25">
      <c r="B86" s="3">
        <f t="shared" si="2"/>
        <v>2046</v>
      </c>
      <c r="C86" s="7">
        <v>74718920.092349961</v>
      </c>
      <c r="D86" s="7">
        <v>64193613.108444922</v>
      </c>
      <c r="E86" s="7">
        <v>85254185.785393864</v>
      </c>
      <c r="F86" s="7">
        <v>76415722.732899234</v>
      </c>
      <c r="G86" s="7">
        <v>82496036.449625894</v>
      </c>
      <c r="H86" s="7">
        <v>75780266.787568659</v>
      </c>
      <c r="I86" s="7">
        <v>84192839.090175182</v>
      </c>
      <c r="J86" s="7">
        <v>83557383.144844592</v>
      </c>
      <c r="K86" s="7">
        <v>77477069.428117931</v>
      </c>
    </row>
    <row r="87" spans="2:11" x14ac:dyDescent="0.25">
      <c r="B87" s="3">
        <f t="shared" si="2"/>
        <v>2047</v>
      </c>
      <c r="C87" s="7">
        <v>74984881.177949876</v>
      </c>
      <c r="D87" s="7">
        <v>64226006.825343072</v>
      </c>
      <c r="E87" s="7">
        <v>85757975.496245995</v>
      </c>
      <c r="F87" s="7">
        <v>76754806.197098583</v>
      </c>
      <c r="G87" s="7">
        <v>82913195.602589861</v>
      </c>
      <c r="H87" s="7">
        <v>76059736.052457318</v>
      </c>
      <c r="I87" s="7">
        <v>84683120.621738553</v>
      </c>
      <c r="J87" s="7">
        <v>83988050.477097288</v>
      </c>
      <c r="K87" s="7">
        <v>77829661.071606025</v>
      </c>
    </row>
    <row r="88" spans="2:11" x14ac:dyDescent="0.25">
      <c r="B88" s="3">
        <f t="shared" si="2"/>
        <v>2048</v>
      </c>
      <c r="C88" s="7">
        <v>75307487.694350362</v>
      </c>
      <c r="D88" s="7">
        <v>64316211.055788435</v>
      </c>
      <c r="E88" s="7">
        <v>86318175.962471142</v>
      </c>
      <c r="F88" s="7">
        <v>77152884.840750054</v>
      </c>
      <c r="G88" s="7">
        <v>83384487.877513081</v>
      </c>
      <c r="H88" s="7">
        <v>76395778.632908762</v>
      </c>
      <c r="I88" s="7">
        <v>85229885.023912758</v>
      </c>
      <c r="J88" s="7">
        <v>84472778.816071466</v>
      </c>
      <c r="K88" s="7">
        <v>78241175.779308438</v>
      </c>
    </row>
    <row r="89" spans="2:11" x14ac:dyDescent="0.25">
      <c r="B89" s="3">
        <f t="shared" si="2"/>
        <v>2049</v>
      </c>
      <c r="C89" s="7">
        <v>75753570.573842838</v>
      </c>
      <c r="D89" s="7">
        <v>64530872.786002234</v>
      </c>
      <c r="E89" s="7">
        <v>87002599.802019313</v>
      </c>
      <c r="F89" s="7">
        <v>77677631.691127509</v>
      </c>
      <c r="G89" s="7">
        <v>83976880.819834381</v>
      </c>
      <c r="H89" s="7">
        <v>76855228.438743129</v>
      </c>
      <c r="I89" s="7">
        <v>85900941.937119037</v>
      </c>
      <c r="J89" s="7">
        <v>85078538.684734672</v>
      </c>
      <c r="K89" s="7">
        <v>78779289.556027785</v>
      </c>
    </row>
    <row r="90" spans="2:11" x14ac:dyDescent="0.25">
      <c r="B90" s="3">
        <f t="shared" si="2"/>
        <v>2050</v>
      </c>
      <c r="C90" s="7">
        <v>76302739.306250885</v>
      </c>
      <c r="D90" s="7">
        <v>64849089.394208767</v>
      </c>
      <c r="E90" s="7">
        <v>87791434.48883006</v>
      </c>
      <c r="F90" s="7">
        <v>78309106.446022794</v>
      </c>
      <c r="G90" s="7">
        <v>84670108.874022111</v>
      </c>
      <c r="H90" s="7">
        <v>77417697.78128694</v>
      </c>
      <c r="I90" s="7">
        <v>86676476.01379402</v>
      </c>
      <c r="J90" s="7">
        <v>85785067.349058166</v>
      </c>
      <c r="K90" s="7">
        <v>79424064.921058834</v>
      </c>
    </row>
  </sheetData>
  <conditionalFormatting sqref="C10:C90">
    <cfRule type="expression" dxfId="8" priority="10">
      <formula>ISBLANK(C10)</formula>
    </cfRule>
  </conditionalFormatting>
  <conditionalFormatting sqref="D10:D90">
    <cfRule type="expression" dxfId="7" priority="9">
      <formula>ISBLANK(D10)</formula>
    </cfRule>
  </conditionalFormatting>
  <conditionalFormatting sqref="E10:E90">
    <cfRule type="expression" dxfId="6" priority="8">
      <formula>ISBLANK(E10)</formula>
    </cfRule>
  </conditionalFormatting>
  <conditionalFormatting sqref="F10:F90">
    <cfRule type="expression" dxfId="5" priority="7">
      <formula>ISBLANK(F10)</formula>
    </cfRule>
  </conditionalFormatting>
  <conditionalFormatting sqref="G10:G90">
    <cfRule type="expression" dxfId="4" priority="6">
      <formula>ISBLANK(G10)</formula>
    </cfRule>
  </conditionalFormatting>
  <conditionalFormatting sqref="H10:H90">
    <cfRule type="expression" dxfId="3" priority="5">
      <formula>ISBLANK(H10)</formula>
    </cfRule>
  </conditionalFormatting>
  <conditionalFormatting sqref="I10:I90">
    <cfRule type="expression" dxfId="2" priority="4">
      <formula>ISBLANK(I10)</formula>
    </cfRule>
  </conditionalFormatting>
  <conditionalFormatting sqref="J10:J90">
    <cfRule type="expression" dxfId="1" priority="3">
      <formula>ISBLANK(J10)</formula>
    </cfRule>
  </conditionalFormatting>
  <conditionalFormatting sqref="K10:K90">
    <cfRule type="expression" dxfId="0" priority="2">
      <formula>ISBLANK(K10)</formula>
    </cfRule>
  </conditionalFormatting>
  <conditionalFormatting sqref="C59:K90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ensitivity">
                <anchor moveWithCells="1" sizeWithCells="1">
                  <from>
                    <xdr:col>5</xdr:col>
                    <xdr:colOff>327660</xdr:colOff>
                    <xdr:row>0</xdr:row>
                    <xdr:rowOff>129540</xdr:rowOff>
                  </from>
                  <to>
                    <xdr:col>7</xdr:col>
                    <xdr:colOff>480060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A4C311D-BA26-4C57-9FC1-D21EC2E64FD0}">
          <x14:formula1>
            <xm:f>'0. Electricity'!$I$2:$K$2</xm:f>
          </x14:formula1>
          <xm:sqref>C4:K4</xm:sqref>
        </x14:dataValidation>
        <x14:dataValidation type="list" allowBlank="1" showInputMessage="1" showErrorMessage="1" xr:uid="{2E7155A3-E71C-4E22-8F0D-B5DD580E457F}">
          <x14:formula1>
            <xm:f>'2. Industry'!$M$6:$O$6</xm:f>
          </x14:formula1>
          <xm:sqref>C5:K5</xm:sqref>
        </x14:dataValidation>
        <x14:dataValidation type="list" allowBlank="1" showInputMessage="1" showErrorMessage="1" xr:uid="{04E705F2-46D0-4B4C-93E9-51EE3AC7995B}">
          <x14:formula1>
            <xm:f>'3. Transport'!$H$6:$J$6</xm:f>
          </x14:formula1>
          <xm:sqref>C6:K6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68BF6-C821-7442-A571-3FFF8C26FF63}">
  <sheetPr codeName="Sheet2">
    <tabColor theme="5" tint="0.79998168889431442"/>
  </sheetPr>
  <dimension ref="B1:H107"/>
  <sheetViews>
    <sheetView showGridLines="0" tabSelected="1" zoomScale="80" zoomScaleNormal="80" workbookViewId="0">
      <pane xSplit="1" ySplit="7" topLeftCell="B8" activePane="bottomRight" state="frozen"/>
      <selection activeCell="P5" sqref="P5"/>
      <selection pane="topRight" activeCell="P5" sqref="P5"/>
      <selection pane="bottomLeft" activeCell="P5" sqref="P5"/>
      <selection pane="bottomRight" activeCell="H8" sqref="H8"/>
    </sheetView>
  </sheetViews>
  <sheetFormatPr defaultColWidth="8.7265625" defaultRowHeight="15" x14ac:dyDescent="0.25"/>
  <cols>
    <col min="1" max="1" width="2.7265625" customWidth="1"/>
    <col min="2" max="2" width="17.54296875" customWidth="1"/>
    <col min="3" max="3" width="12.26953125" customWidth="1"/>
    <col min="4" max="4" width="14.453125" customWidth="1"/>
    <col min="5" max="5" width="2.7265625" customWidth="1"/>
    <col min="6" max="6" width="17" customWidth="1"/>
    <col min="7" max="7" width="14.26953125" customWidth="1"/>
    <col min="8" max="8" width="19.7265625" customWidth="1"/>
  </cols>
  <sheetData>
    <row r="1" spans="2:8" ht="22.8" x14ac:dyDescent="0.4">
      <c r="B1" s="83" t="s">
        <v>156</v>
      </c>
    </row>
    <row r="2" spans="2:8" ht="15.6" x14ac:dyDescent="0.3">
      <c r="B2" s="48" t="s">
        <v>196</v>
      </c>
      <c r="C2" s="48"/>
      <c r="D2" s="48"/>
      <c r="E2" s="43"/>
      <c r="F2" s="48"/>
      <c r="G2" s="48"/>
      <c r="H2" s="48"/>
    </row>
    <row r="3" spans="2:8" ht="9" customHeight="1" x14ac:dyDescent="0.25">
      <c r="B3" s="2"/>
      <c r="C3" s="1"/>
      <c r="D3" s="1"/>
    </row>
    <row r="4" spans="2:8" ht="8.4" customHeight="1" x14ac:dyDescent="0.25"/>
    <row r="5" spans="2:8" ht="2.4" customHeight="1" x14ac:dyDescent="0.25">
      <c r="B5" s="2"/>
      <c r="C5" s="1"/>
      <c r="D5" s="1"/>
    </row>
    <row r="6" spans="2:8" x14ac:dyDescent="0.25">
      <c r="B6" s="22"/>
      <c r="C6" s="53" t="s">
        <v>157</v>
      </c>
      <c r="D6" s="53" t="s">
        <v>14</v>
      </c>
      <c r="F6" s="53" t="s">
        <v>14</v>
      </c>
      <c r="G6" s="53" t="s">
        <v>157</v>
      </c>
      <c r="H6" s="53" t="s">
        <v>13</v>
      </c>
    </row>
    <row r="7" spans="2:8" s="35" customFormat="1" ht="33" customHeight="1" x14ac:dyDescent="0.25">
      <c r="B7" s="32" t="s">
        <v>158</v>
      </c>
      <c r="C7" s="32" t="s">
        <v>159</v>
      </c>
      <c r="D7" s="32" t="s">
        <v>160</v>
      </c>
      <c r="F7" s="32" t="s">
        <v>160</v>
      </c>
      <c r="G7" s="34" t="s">
        <v>161</v>
      </c>
      <c r="H7" s="34" t="s">
        <v>62</v>
      </c>
    </row>
    <row r="8" spans="2:8" x14ac:dyDescent="0.25">
      <c r="B8" s="3" t="s">
        <v>162</v>
      </c>
      <c r="C8" s="93">
        <v>0.37</v>
      </c>
      <c r="D8" s="91">
        <v>8.9899524061343203E-2</v>
      </c>
      <c r="F8" s="91">
        <v>5.5583333333333327E-3</v>
      </c>
      <c r="G8" s="89" cm="1">
        <f t="array" ref="G8:G38">TREND(C8:C32,D8:D32,F8:F38)</f>
        <v>0.11524648229318593</v>
      </c>
      <c r="H8" s="95">
        <v>22504524.751151245</v>
      </c>
    </row>
    <row r="9" spans="2:8" x14ac:dyDescent="0.25">
      <c r="B9" s="3" t="s">
        <v>163</v>
      </c>
      <c r="C9" s="93">
        <v>0.34</v>
      </c>
      <c r="D9" s="91">
        <v>4.25941371436135E-2</v>
      </c>
      <c r="F9" s="91">
        <v>6.8428571428571427E-3</v>
      </c>
      <c r="G9" s="89">
        <v>0.11774618273611269</v>
      </c>
      <c r="H9" s="88">
        <v>22686076.588652093</v>
      </c>
    </row>
    <row r="10" spans="2:8" x14ac:dyDescent="0.25">
      <c r="B10" s="3" t="s">
        <v>164</v>
      </c>
      <c r="C10" s="93">
        <v>0.32</v>
      </c>
      <c r="D10" s="91">
        <v>5.3650032748976499E-2</v>
      </c>
      <c r="F10" s="90">
        <v>7.4013492063489394E-3</v>
      </c>
      <c r="G10" s="89">
        <v>0.11883301573066735</v>
      </c>
      <c r="H10" s="88">
        <v>22884826.477997094</v>
      </c>
    </row>
    <row r="11" spans="2:8" x14ac:dyDescent="0.25">
      <c r="B11" s="3" t="s">
        <v>165</v>
      </c>
      <c r="C11" s="94">
        <v>0.25</v>
      </c>
      <c r="D11" s="91">
        <v>6.8993713906066303E-2</v>
      </c>
      <c r="F11" s="90">
        <v>8.4393764172334684E-3</v>
      </c>
      <c r="G11" s="89">
        <v>0.12085303050935797</v>
      </c>
      <c r="H11" s="88">
        <v>23072535.468865417</v>
      </c>
    </row>
    <row r="12" spans="2:8" x14ac:dyDescent="0.25">
      <c r="B12" s="3" t="s">
        <v>166</v>
      </c>
      <c r="C12" s="93">
        <v>0.27</v>
      </c>
      <c r="D12" s="91">
        <v>2.7859259308742002E-2</v>
      </c>
      <c r="F12" s="90">
        <v>9.4774036281175533E-3</v>
      </c>
      <c r="G12" s="89">
        <v>0.12287304528804772</v>
      </c>
      <c r="H12" s="88">
        <v>23253763.960796468</v>
      </c>
    </row>
    <row r="13" spans="2:8" x14ac:dyDescent="0.25">
      <c r="B13" s="3" t="s">
        <v>167</v>
      </c>
      <c r="C13" s="93">
        <v>0.26</v>
      </c>
      <c r="D13" s="91">
        <v>9.6625653940939096E-2</v>
      </c>
      <c r="F13" s="90">
        <v>1.0515430839002082E-2</v>
      </c>
      <c r="G13" s="89">
        <v>0.12489306006673835</v>
      </c>
      <c r="H13" s="88">
        <v>23424324.097871505</v>
      </c>
    </row>
    <row r="14" spans="2:8" x14ac:dyDescent="0.25">
      <c r="B14" s="3" t="s">
        <v>168</v>
      </c>
      <c r="C14" s="93">
        <v>0.26</v>
      </c>
      <c r="D14" s="91">
        <v>8.9672397844264604E-2</v>
      </c>
      <c r="F14" s="90">
        <v>1.1553458049886611E-2</v>
      </c>
      <c r="G14" s="89">
        <v>0.12691307484542896</v>
      </c>
      <c r="H14" s="88">
        <v>23584419.644048974</v>
      </c>
    </row>
    <row r="15" spans="2:8" x14ac:dyDescent="0.25">
      <c r="B15" s="3" t="s">
        <v>169</v>
      </c>
      <c r="C15" s="93">
        <v>0.26</v>
      </c>
      <c r="D15" s="91">
        <v>4.3714588481874497E-2</v>
      </c>
      <c r="F15" s="90">
        <v>1.2591485260770696E-2</v>
      </c>
      <c r="G15" s="89">
        <v>0.12893308962411873</v>
      </c>
      <c r="H15" s="88">
        <v>23735776.309070844</v>
      </c>
    </row>
    <row r="16" spans="2:8" x14ac:dyDescent="0.25">
      <c r="B16" s="3" t="s">
        <v>170</v>
      </c>
      <c r="C16" s="93">
        <v>0.24</v>
      </c>
      <c r="D16" s="91">
        <v>4.3429583443471899E-2</v>
      </c>
      <c r="F16" s="90">
        <v>1.3629512471655225E-2</v>
      </c>
      <c r="G16" s="89">
        <v>0.13095310440280936</v>
      </c>
      <c r="H16" s="88">
        <v>23877713.36206086</v>
      </c>
    </row>
    <row r="17" spans="2:8" x14ac:dyDescent="0.25">
      <c r="B17" s="3" t="s">
        <v>171</v>
      </c>
      <c r="C17" s="93">
        <v>0.23</v>
      </c>
      <c r="D17" s="91">
        <v>7.8697568177075905E-2</v>
      </c>
      <c r="F17" s="90">
        <v>1.466753968253931E-2</v>
      </c>
      <c r="G17" s="89">
        <v>0.13297311918149912</v>
      </c>
      <c r="H17" s="88">
        <v>24009436.901149925</v>
      </c>
    </row>
    <row r="18" spans="2:8" x14ac:dyDescent="0.25">
      <c r="B18" s="3" t="s">
        <v>172</v>
      </c>
      <c r="C18" s="93">
        <v>0.23</v>
      </c>
      <c r="D18" s="91">
        <v>7.4155440096059302E-2</v>
      </c>
      <c r="F18" s="90">
        <v>1.5705566893423839E-2</v>
      </c>
      <c r="G18" s="89">
        <v>0.13499313396018975</v>
      </c>
      <c r="H18" s="88">
        <v>24130374.332970195</v>
      </c>
    </row>
    <row r="19" spans="2:8" x14ac:dyDescent="0.25">
      <c r="B19" s="3" t="s">
        <v>173</v>
      </c>
      <c r="C19" s="93">
        <v>0.22</v>
      </c>
      <c r="D19" s="91">
        <v>2.4956980380870002E-2</v>
      </c>
      <c r="F19" s="90">
        <v>1.6743594104308368E-2</v>
      </c>
      <c r="G19" s="89">
        <v>0.13701314873888037</v>
      </c>
      <c r="H19" s="88">
        <v>24240204.462143887</v>
      </c>
    </row>
    <row r="20" spans="2:8" x14ac:dyDescent="0.25">
      <c r="B20" s="3" t="s">
        <v>174</v>
      </c>
      <c r="C20" s="93">
        <v>0.19</v>
      </c>
      <c r="D20" s="91">
        <v>1.32124111625905E-2</v>
      </c>
      <c r="F20" s="90">
        <v>1.7781621315192453E-2</v>
      </c>
      <c r="G20" s="89">
        <v>0.13903316351757011</v>
      </c>
      <c r="H20" s="88">
        <v>24338705.206551142</v>
      </c>
    </row>
    <row r="21" spans="2:8" x14ac:dyDescent="0.25">
      <c r="B21" s="3" t="s">
        <v>175</v>
      </c>
      <c r="C21" s="93">
        <v>0.19</v>
      </c>
      <c r="D21" s="91">
        <v>9.471230916592191E-2</v>
      </c>
      <c r="F21" s="90">
        <v>1.8819648526076982E-2</v>
      </c>
      <c r="G21" s="89">
        <v>0.14105317829626074</v>
      </c>
      <c r="H21" s="88">
        <v>24425655.45827774</v>
      </c>
    </row>
    <row r="22" spans="2:8" x14ac:dyDescent="0.25">
      <c r="B22" s="3" t="s">
        <v>176</v>
      </c>
      <c r="C22" s="92">
        <v>0.17</v>
      </c>
      <c r="D22" s="91">
        <v>8.6247138549114307E-3</v>
      </c>
      <c r="F22" s="90">
        <v>1.9857675736961511E-2</v>
      </c>
      <c r="G22" s="89">
        <v>0.14307319307495137</v>
      </c>
      <c r="H22" s="88">
        <v>24500795.166553993</v>
      </c>
    </row>
    <row r="23" spans="2:8" x14ac:dyDescent="0.25">
      <c r="B23" s="3" t="s">
        <v>177</v>
      </c>
      <c r="C23" s="92">
        <v>0.15</v>
      </c>
      <c r="D23" s="91">
        <v>2.5538422603433201E-2</v>
      </c>
      <c r="F23" s="90">
        <v>2.0895702947845596E-2</v>
      </c>
      <c r="G23" s="89">
        <v>0.14509320785364113</v>
      </c>
      <c r="H23" s="88">
        <v>24563976.182542518</v>
      </c>
    </row>
    <row r="24" spans="2:8" x14ac:dyDescent="0.25">
      <c r="B24" s="3" t="s">
        <v>178</v>
      </c>
      <c r="C24" s="92">
        <v>0.15</v>
      </c>
      <c r="D24" s="91">
        <v>3.2749508596878502E-2</v>
      </c>
      <c r="F24" s="90">
        <v>2.1933730158730125E-2</v>
      </c>
      <c r="G24" s="89">
        <v>0.14711322263233173</v>
      </c>
      <c r="H24" s="88">
        <v>24615276.819001462</v>
      </c>
    </row>
    <row r="25" spans="2:8" x14ac:dyDescent="0.25">
      <c r="B25" s="3" t="s">
        <v>179</v>
      </c>
      <c r="C25" s="92">
        <v>0.14000000000000001</v>
      </c>
      <c r="D25" s="91">
        <v>1.2535864729518599E-2</v>
      </c>
      <c r="F25" s="90">
        <v>2.297175736961421E-2</v>
      </c>
      <c r="G25" s="89">
        <v>0.1491332374110215</v>
      </c>
      <c r="H25" s="88">
        <v>24654761.950544152</v>
      </c>
    </row>
    <row r="26" spans="2:8" x14ac:dyDescent="0.25">
      <c r="B26" s="3" t="s">
        <v>180</v>
      </c>
      <c r="C26" s="92">
        <v>0.09</v>
      </c>
      <c r="D26" s="91">
        <v>3.4248478780425404E-2</v>
      </c>
      <c r="F26" s="90">
        <v>2.4009784580498739E-2</v>
      </c>
      <c r="G26" s="89">
        <v>0.15115325218971212</v>
      </c>
      <c r="H26" s="88">
        <v>24682703.984616105</v>
      </c>
    </row>
    <row r="27" spans="2:8" x14ac:dyDescent="0.25">
      <c r="B27" s="3" t="s">
        <v>181</v>
      </c>
      <c r="C27" s="92">
        <v>0.08</v>
      </c>
      <c r="D27" s="91">
        <v>3.6654019817018102E-2</v>
      </c>
      <c r="F27" s="90">
        <v>2.5047811791383268E-2</v>
      </c>
      <c r="G27" s="89">
        <v>0.15317326696840275</v>
      </c>
      <c r="H27" s="88">
        <v>24699599.512838989</v>
      </c>
    </row>
    <row r="28" spans="2:8" x14ac:dyDescent="0.25">
      <c r="B28" s="3" t="s">
        <v>182</v>
      </c>
      <c r="C28" s="92">
        <v>0.08</v>
      </c>
      <c r="D28" s="91">
        <v>3.4169944760584603E-2</v>
      </c>
      <c r="F28" s="90">
        <v>2.6085839002267353E-2</v>
      </c>
      <c r="G28" s="89">
        <v>0.15519328174709252</v>
      </c>
      <c r="H28" s="88">
        <v>24705859.549996566</v>
      </c>
    </row>
    <row r="29" spans="2:8" x14ac:dyDescent="0.25">
      <c r="B29" s="3" t="s">
        <v>183</v>
      </c>
      <c r="C29" s="92">
        <v>0.08</v>
      </c>
      <c r="D29" s="91">
        <v>4.37634081630668E-2</v>
      </c>
      <c r="F29" s="90">
        <v>2.7123866213151882E-2</v>
      </c>
      <c r="G29" s="89">
        <v>0.15721329652578314</v>
      </c>
      <c r="H29" s="88">
        <v>24701805.534634478</v>
      </c>
    </row>
    <row r="30" spans="2:8" x14ac:dyDescent="0.25">
      <c r="B30" s="3" t="s">
        <v>184</v>
      </c>
      <c r="C30" s="92">
        <v>0.06</v>
      </c>
      <c r="D30" s="91">
        <v>1.6333084400587099E-3</v>
      </c>
      <c r="F30" s="90">
        <v>2.8161893424035966E-2</v>
      </c>
      <c r="G30" s="89">
        <v>0.15923331130447288</v>
      </c>
      <c r="H30" s="88">
        <v>24687823.792966239</v>
      </c>
    </row>
    <row r="31" spans="2:8" x14ac:dyDescent="0.25">
      <c r="B31" s="3" t="s">
        <v>185</v>
      </c>
      <c r="C31" s="92">
        <v>0.06</v>
      </c>
      <c r="D31" s="91">
        <v>7.8908901023986905E-4</v>
      </c>
      <c r="F31" s="90">
        <v>2.9199920634920495E-2</v>
      </c>
      <c r="G31" s="89">
        <v>0.16125332608316351</v>
      </c>
      <c r="H31" s="88">
        <v>24664571.866766762</v>
      </c>
    </row>
    <row r="32" spans="2:8" x14ac:dyDescent="0.25">
      <c r="B32" s="3" t="s">
        <v>186</v>
      </c>
      <c r="C32" s="92">
        <v>0.01</v>
      </c>
      <c r="D32" s="91">
        <v>7.2622412318061201E-4</v>
      </c>
      <c r="F32" s="90">
        <v>3.0237947845805024E-2</v>
      </c>
      <c r="G32" s="89">
        <v>0.16327334086185413</v>
      </c>
      <c r="H32" s="88">
        <v>24632898.12378196</v>
      </c>
    </row>
    <row r="33" spans="2:8" x14ac:dyDescent="0.25">
      <c r="F33" s="90">
        <v>3.1275975056689109E-2</v>
      </c>
      <c r="G33" s="89">
        <v>0.1652933556405439</v>
      </c>
      <c r="H33" s="88">
        <v>24593559.971122116</v>
      </c>
    </row>
    <row r="34" spans="2:8" x14ac:dyDescent="0.25">
      <c r="B34" s="15" t="s">
        <v>30</v>
      </c>
      <c r="C34" s="1"/>
      <c r="D34" s="1"/>
      <c r="F34" s="90">
        <v>3.2314002267573638E-2</v>
      </c>
      <c r="G34" s="89">
        <v>0.16731337041923453</v>
      </c>
      <c r="H34" s="88">
        <v>24547035.772478469</v>
      </c>
    </row>
    <row r="35" spans="2:8" x14ac:dyDescent="0.25">
      <c r="B35" s="1" t="s">
        <v>187</v>
      </c>
      <c r="C35" s="1"/>
      <c r="D35" s="1"/>
      <c r="F35" s="90">
        <v>3.3352029478457723E-2</v>
      </c>
      <c r="G35" s="89">
        <v>0.16933338519792429</v>
      </c>
      <c r="H35" s="88">
        <v>24493732.039128982</v>
      </c>
    </row>
    <row r="36" spans="2:8" x14ac:dyDescent="0.25">
      <c r="B36" s="1" t="s">
        <v>188</v>
      </c>
      <c r="C36" s="1"/>
      <c r="F36" s="90">
        <v>3.4390056689342252E-2</v>
      </c>
      <c r="G36" s="89">
        <v>0.17135339997661492</v>
      </c>
      <c r="H36" s="88">
        <v>24434543.824164439</v>
      </c>
    </row>
    <row r="37" spans="2:8" x14ac:dyDescent="0.25">
      <c r="B37" s="1" t="s">
        <v>189</v>
      </c>
      <c r="C37" s="1"/>
      <c r="F37" s="90">
        <v>3.5428083900226781E-2</v>
      </c>
      <c r="G37" s="89">
        <v>0.17337341475530554</v>
      </c>
      <c r="H37" s="88">
        <v>24369943.133302256</v>
      </c>
    </row>
    <row r="38" spans="2:8" x14ac:dyDescent="0.25">
      <c r="B38" s="1" t="s">
        <v>190</v>
      </c>
      <c r="C38" s="1"/>
      <c r="F38" s="90">
        <v>3.6466111111110866E-2</v>
      </c>
      <c r="G38" s="89">
        <v>0.17539342953399528</v>
      </c>
      <c r="H38" s="88">
        <v>24300692.774630252</v>
      </c>
    </row>
    <row r="39" spans="2:8" x14ac:dyDescent="0.25">
      <c r="B39" s="1"/>
      <c r="C39" s="1"/>
      <c r="F39" s="87"/>
      <c r="G39" s="86"/>
      <c r="H39" s="86"/>
    </row>
    <row r="40" spans="2:8" x14ac:dyDescent="0.25">
      <c r="B40" s="1"/>
      <c r="C40" s="1"/>
      <c r="F40" s="87"/>
      <c r="G40" s="86"/>
      <c r="H40" s="86"/>
    </row>
    <row r="41" spans="2:8" x14ac:dyDescent="0.25">
      <c r="B41" s="1"/>
      <c r="C41" s="1"/>
      <c r="F41" s="87"/>
      <c r="G41" s="86"/>
      <c r="H41" s="86"/>
    </row>
    <row r="42" spans="2:8" x14ac:dyDescent="0.25">
      <c r="B42" s="1"/>
      <c r="C42" s="1"/>
      <c r="F42" s="87"/>
      <c r="G42" s="86"/>
      <c r="H42" s="86"/>
    </row>
    <row r="43" spans="2:8" x14ac:dyDescent="0.25">
      <c r="B43" s="1"/>
      <c r="C43" s="1"/>
      <c r="F43" s="87"/>
      <c r="G43" s="86"/>
      <c r="H43" s="86"/>
    </row>
    <row r="44" spans="2:8" x14ac:dyDescent="0.25">
      <c r="B44" s="1"/>
      <c r="C44" s="1"/>
      <c r="F44" s="87"/>
      <c r="G44" s="86"/>
      <c r="H44" s="86"/>
    </row>
    <row r="45" spans="2:8" x14ac:dyDescent="0.25">
      <c r="B45" s="1"/>
      <c r="C45" s="1"/>
      <c r="F45" s="87"/>
      <c r="G45" s="86"/>
      <c r="H45" s="86"/>
    </row>
    <row r="46" spans="2:8" x14ac:dyDescent="0.25">
      <c r="B46" s="1"/>
      <c r="C46" s="1"/>
      <c r="F46" s="87"/>
      <c r="G46" s="86"/>
      <c r="H46" s="86"/>
    </row>
    <row r="47" spans="2:8" x14ac:dyDescent="0.25">
      <c r="B47" s="1"/>
      <c r="C47" s="1"/>
      <c r="F47" s="87"/>
      <c r="G47" s="86"/>
      <c r="H47" s="86"/>
    </row>
    <row r="48" spans="2:8" x14ac:dyDescent="0.25">
      <c r="B48" s="1"/>
      <c r="C48" s="1"/>
      <c r="F48" s="87"/>
      <c r="G48" s="86"/>
      <c r="H48" s="86"/>
    </row>
    <row r="49" spans="2:8" x14ac:dyDescent="0.25">
      <c r="B49" s="1"/>
      <c r="C49" s="1"/>
      <c r="F49" s="87"/>
      <c r="G49" s="86"/>
      <c r="H49" s="86"/>
    </row>
    <row r="50" spans="2:8" x14ac:dyDescent="0.25">
      <c r="B50" s="1"/>
      <c r="C50" s="1"/>
      <c r="F50" s="87"/>
      <c r="G50" s="86"/>
      <c r="H50" s="86"/>
    </row>
    <row r="51" spans="2:8" x14ac:dyDescent="0.25">
      <c r="B51" s="1"/>
      <c r="C51" s="1"/>
      <c r="F51" s="87"/>
      <c r="G51" s="86"/>
      <c r="H51" s="86"/>
    </row>
    <row r="52" spans="2:8" x14ac:dyDescent="0.25">
      <c r="B52" s="1"/>
      <c r="C52" s="1"/>
      <c r="F52" s="87"/>
      <c r="G52" s="86"/>
      <c r="H52" s="86"/>
    </row>
    <row r="53" spans="2:8" x14ac:dyDescent="0.25">
      <c r="B53" s="1"/>
      <c r="C53" s="1"/>
      <c r="F53" s="87"/>
      <c r="G53" s="86"/>
      <c r="H53" s="86"/>
    </row>
    <row r="54" spans="2:8" x14ac:dyDescent="0.25">
      <c r="B54" s="1"/>
      <c r="C54" s="1"/>
      <c r="F54" s="87"/>
      <c r="G54" s="86"/>
      <c r="H54" s="86"/>
    </row>
    <row r="55" spans="2:8" x14ac:dyDescent="0.25">
      <c r="B55" s="15"/>
      <c r="F55" s="87"/>
      <c r="G55" s="86"/>
      <c r="H55" s="86"/>
    </row>
    <row r="56" spans="2:8" x14ac:dyDescent="0.25">
      <c r="B56" s="1"/>
      <c r="F56" s="87"/>
      <c r="G56" s="86"/>
      <c r="H56" s="86"/>
    </row>
    <row r="57" spans="2:8" x14ac:dyDescent="0.25">
      <c r="B57" s="15" t="s">
        <v>30</v>
      </c>
      <c r="F57" s="87"/>
      <c r="G57" s="86"/>
      <c r="H57" s="86"/>
    </row>
    <row r="58" spans="2:8" x14ac:dyDescent="0.25">
      <c r="B58" s="1"/>
      <c r="F58" s="87"/>
      <c r="G58" s="86"/>
      <c r="H58" s="86"/>
    </row>
    <row r="59" spans="2:8" x14ac:dyDescent="0.25">
      <c r="B59" s="1"/>
      <c r="F59" s="87"/>
      <c r="G59" s="86"/>
      <c r="H59" s="86"/>
    </row>
    <row r="60" spans="2:8" x14ac:dyDescent="0.25">
      <c r="B60" s="1"/>
      <c r="F60" s="87"/>
      <c r="G60" s="86"/>
      <c r="H60" s="86"/>
    </row>
    <row r="61" spans="2:8" x14ac:dyDescent="0.25">
      <c r="B61" s="12"/>
      <c r="F61" s="87"/>
      <c r="G61" s="86"/>
      <c r="H61" s="86"/>
    </row>
    <row r="62" spans="2:8" x14ac:dyDescent="0.25">
      <c r="B62" s="12"/>
      <c r="F62" s="87"/>
      <c r="G62" s="86"/>
      <c r="H62" s="86"/>
    </row>
    <row r="63" spans="2:8" x14ac:dyDescent="0.25">
      <c r="F63" s="87"/>
      <c r="G63" s="86"/>
      <c r="H63" s="86"/>
    </row>
    <row r="64" spans="2:8" x14ac:dyDescent="0.25">
      <c r="F64" s="87"/>
      <c r="G64" s="86"/>
      <c r="H64" s="86"/>
    </row>
    <row r="65" spans="6:8" x14ac:dyDescent="0.25">
      <c r="F65" s="87"/>
      <c r="G65" s="86"/>
      <c r="H65" s="86"/>
    </row>
    <row r="66" spans="6:8" x14ac:dyDescent="0.25">
      <c r="F66" s="87"/>
      <c r="G66" s="86"/>
      <c r="H66" s="86"/>
    </row>
    <row r="67" spans="6:8" x14ac:dyDescent="0.25">
      <c r="F67" s="87"/>
      <c r="G67" s="86"/>
      <c r="H67" s="86"/>
    </row>
    <row r="68" spans="6:8" x14ac:dyDescent="0.25">
      <c r="F68" s="87"/>
      <c r="G68" s="86"/>
      <c r="H68" s="86"/>
    </row>
    <row r="69" spans="6:8" x14ac:dyDescent="0.25">
      <c r="F69" s="87"/>
      <c r="G69" s="86"/>
      <c r="H69" s="86"/>
    </row>
    <row r="70" spans="6:8" x14ac:dyDescent="0.25">
      <c r="F70" s="87"/>
      <c r="G70" s="86"/>
      <c r="H70" s="86"/>
    </row>
    <row r="71" spans="6:8" x14ac:dyDescent="0.25">
      <c r="F71" s="87"/>
      <c r="G71" s="86"/>
      <c r="H71" s="86"/>
    </row>
    <row r="72" spans="6:8" x14ac:dyDescent="0.25">
      <c r="F72" s="87"/>
      <c r="G72" s="86"/>
      <c r="H72" s="86"/>
    </row>
    <row r="73" spans="6:8" x14ac:dyDescent="0.25">
      <c r="F73" s="87"/>
      <c r="G73" s="86"/>
      <c r="H73" s="86"/>
    </row>
    <row r="74" spans="6:8" x14ac:dyDescent="0.25">
      <c r="F74" s="87"/>
      <c r="G74" s="86"/>
      <c r="H74" s="86"/>
    </row>
    <row r="75" spans="6:8" x14ac:dyDescent="0.25">
      <c r="F75" s="87"/>
      <c r="G75" s="86"/>
      <c r="H75" s="86"/>
    </row>
    <row r="76" spans="6:8" x14ac:dyDescent="0.25">
      <c r="F76" s="87"/>
      <c r="G76" s="86"/>
      <c r="H76" s="86"/>
    </row>
    <row r="77" spans="6:8" x14ac:dyDescent="0.25">
      <c r="F77" s="87"/>
      <c r="G77" s="86"/>
      <c r="H77" s="86"/>
    </row>
    <row r="78" spans="6:8" x14ac:dyDescent="0.25">
      <c r="F78" s="87"/>
      <c r="G78" s="86"/>
      <c r="H78" s="86"/>
    </row>
    <row r="79" spans="6:8" x14ac:dyDescent="0.25">
      <c r="F79" s="87"/>
      <c r="G79" s="86"/>
      <c r="H79" s="86"/>
    </row>
    <row r="80" spans="6:8" x14ac:dyDescent="0.25">
      <c r="F80" s="87"/>
      <c r="G80" s="86"/>
      <c r="H80" s="86"/>
    </row>
    <row r="81" spans="6:8" x14ac:dyDescent="0.25">
      <c r="F81" s="87"/>
      <c r="G81" s="86"/>
      <c r="H81" s="86"/>
    </row>
    <row r="82" spans="6:8" x14ac:dyDescent="0.25">
      <c r="F82" s="87"/>
      <c r="G82" s="86"/>
      <c r="H82" s="86"/>
    </row>
    <row r="83" spans="6:8" x14ac:dyDescent="0.25">
      <c r="F83" s="87"/>
      <c r="G83" s="86"/>
      <c r="H83" s="86"/>
    </row>
    <row r="84" spans="6:8" x14ac:dyDescent="0.25">
      <c r="F84" s="87"/>
      <c r="G84" s="86"/>
      <c r="H84" s="86"/>
    </row>
    <row r="85" spans="6:8" x14ac:dyDescent="0.25">
      <c r="F85" s="87"/>
      <c r="G85" s="86"/>
      <c r="H85" s="86"/>
    </row>
    <row r="86" spans="6:8" x14ac:dyDescent="0.25">
      <c r="F86" s="87"/>
      <c r="G86" s="86"/>
      <c r="H86" s="86"/>
    </row>
    <row r="87" spans="6:8" x14ac:dyDescent="0.25">
      <c r="F87" s="87"/>
      <c r="G87" s="86"/>
      <c r="H87" s="86"/>
    </row>
    <row r="88" spans="6:8" x14ac:dyDescent="0.25">
      <c r="F88" s="87"/>
      <c r="G88" s="86"/>
      <c r="H88" s="86"/>
    </row>
    <row r="89" spans="6:8" x14ac:dyDescent="0.25">
      <c r="F89" s="87"/>
      <c r="G89" s="86"/>
      <c r="H89" s="86"/>
    </row>
    <row r="90" spans="6:8" x14ac:dyDescent="0.25">
      <c r="F90" s="87"/>
      <c r="G90" s="86"/>
      <c r="H90" s="86"/>
    </row>
    <row r="91" spans="6:8" x14ac:dyDescent="0.25">
      <c r="F91" s="87"/>
      <c r="G91" s="86"/>
      <c r="H91" s="86"/>
    </row>
    <row r="92" spans="6:8" x14ac:dyDescent="0.25">
      <c r="F92" s="87"/>
      <c r="G92" s="86"/>
      <c r="H92" s="86"/>
    </row>
    <row r="93" spans="6:8" x14ac:dyDescent="0.25">
      <c r="F93" s="87"/>
      <c r="G93" s="86"/>
      <c r="H93" s="86"/>
    </row>
    <row r="94" spans="6:8" x14ac:dyDescent="0.25">
      <c r="F94" s="87"/>
      <c r="G94" s="86"/>
      <c r="H94" s="86"/>
    </row>
    <row r="95" spans="6:8" x14ac:dyDescent="0.25">
      <c r="F95" s="87"/>
      <c r="G95" s="86"/>
      <c r="H95" s="86"/>
    </row>
    <row r="96" spans="6:8" x14ac:dyDescent="0.25">
      <c r="F96" s="87"/>
      <c r="G96" s="86"/>
      <c r="H96" s="86"/>
    </row>
    <row r="97" spans="6:8" x14ac:dyDescent="0.25">
      <c r="F97" s="87"/>
      <c r="G97" s="86"/>
      <c r="H97" s="86"/>
    </row>
    <row r="98" spans="6:8" x14ac:dyDescent="0.25">
      <c r="F98" s="87"/>
      <c r="G98" s="86"/>
      <c r="H98" s="86"/>
    </row>
    <row r="99" spans="6:8" x14ac:dyDescent="0.25">
      <c r="F99" s="87"/>
      <c r="G99" s="86"/>
      <c r="H99" s="86"/>
    </row>
    <row r="100" spans="6:8" x14ac:dyDescent="0.25">
      <c r="F100" s="87"/>
      <c r="G100" s="86"/>
      <c r="H100" s="86"/>
    </row>
    <row r="101" spans="6:8" x14ac:dyDescent="0.25">
      <c r="F101" s="87"/>
      <c r="G101" s="86"/>
      <c r="H101" s="86"/>
    </row>
    <row r="102" spans="6:8" x14ac:dyDescent="0.25">
      <c r="F102" s="87"/>
      <c r="G102" s="86"/>
      <c r="H102" s="86"/>
    </row>
    <row r="103" spans="6:8" x14ac:dyDescent="0.25">
      <c r="F103" s="87"/>
      <c r="G103" s="86"/>
      <c r="H103" s="86"/>
    </row>
    <row r="104" spans="6:8" x14ac:dyDescent="0.25">
      <c r="F104" s="87"/>
      <c r="G104" s="86"/>
      <c r="H104" s="86"/>
    </row>
    <row r="105" spans="6:8" x14ac:dyDescent="0.25">
      <c r="F105" s="87"/>
      <c r="G105" s="86"/>
      <c r="H105" s="86"/>
    </row>
    <row r="106" spans="6:8" x14ac:dyDescent="0.25">
      <c r="F106" s="87"/>
      <c r="G106" s="86"/>
      <c r="H106" s="86"/>
    </row>
    <row r="107" spans="6:8" x14ac:dyDescent="0.25">
      <c r="F107" s="87"/>
      <c r="G107" s="86"/>
      <c r="H107" s="86"/>
    </row>
  </sheetData>
  <conditionalFormatting sqref="C8:C32">
    <cfRule type="expression" dxfId="20" priority="3">
      <formula>ISBLANK(C8)</formula>
    </cfRule>
  </conditionalFormatting>
  <conditionalFormatting sqref="F8:F9">
    <cfRule type="expression" dxfId="19" priority="2">
      <formula>ISBLANK(F8)</formula>
    </cfRule>
  </conditionalFormatting>
  <conditionalFormatting sqref="D8:D32">
    <cfRule type="expression" dxfId="18" priority="1">
      <formula>ISBLANK(D8)</formula>
    </cfRule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E60799DCB99549A63B7A352C6975A2" ma:contentTypeVersion="4" ma:contentTypeDescription="Create a new document." ma:contentTypeScope="" ma:versionID="b1d8ad13204451d86cacbca753a244fb">
  <xsd:schema xmlns:xsd="http://www.w3.org/2001/XMLSchema" xmlns:xs="http://www.w3.org/2001/XMLSchema" xmlns:p="http://schemas.microsoft.com/office/2006/metadata/properties" xmlns:ns2="6f8a874c-c777-4e16-b7c8-a8de098d92af" targetNamespace="http://schemas.microsoft.com/office/2006/metadata/properties" ma:root="true" ma:fieldsID="10065069b4a978410d2da59a0fae9fc4" ns2:_="">
    <xsd:import namespace="6f8a874c-c777-4e16-b7c8-a8de098d92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f8a874c-c777-4e16-b7c8-a8de098d92a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4C8DB3D-ACA4-4D42-9989-F2AF8ADDC6D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E61E48E-78FE-4D99-8C78-022D508D226A}">
  <ds:schemaRefs>
    <ds:schemaRef ds:uri="http://schemas.microsoft.com/office/2006/metadata/properties"/>
    <ds:schemaRef ds:uri="http://purl.org/dc/terms/"/>
    <ds:schemaRef ds:uri="http://purl.org/dc/elements/1.1/"/>
    <ds:schemaRef ds:uri="http://schemas.microsoft.com/office/2006/documentManagement/types"/>
    <ds:schemaRef ds:uri="6f8a874c-c777-4e16-b7c8-a8de098d92af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62CE27D-0C2D-4FB9-8DF1-70C5617059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f8a874c-c777-4e16-b7c8-a8de098d92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Cover</vt:lpstr>
      <vt:lpstr>Schematic</vt:lpstr>
      <vt:lpstr>Main</vt:lpstr>
      <vt:lpstr>0. Electricity</vt:lpstr>
      <vt:lpstr>1. Power</vt:lpstr>
      <vt:lpstr>2. Industry</vt:lpstr>
      <vt:lpstr>3. Transport</vt:lpstr>
      <vt:lpstr>Sensitivity</vt:lpstr>
      <vt:lpstr>Trade-off</vt:lpstr>
      <vt:lpstr>s_count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Siyu Fang</dc:creator>
  <cp:keywords/>
  <dc:description/>
  <cp:lastModifiedBy>Siyu Fang</cp:lastModifiedBy>
  <cp:revision/>
  <dcterms:created xsi:type="dcterms:W3CDTF">2021-10-07T06:34:34Z</dcterms:created>
  <dcterms:modified xsi:type="dcterms:W3CDTF">2021-10-28T08:21:14Z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0x010100EFE60799DCB99549A63B7A352C6975A2</vt:lpwstr>
  </property>
</Properties>
</file>